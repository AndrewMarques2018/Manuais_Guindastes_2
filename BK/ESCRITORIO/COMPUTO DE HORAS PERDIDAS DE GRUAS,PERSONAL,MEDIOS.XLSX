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 RODRIGUEZ\Desktop\"/>
    </mc:Choice>
  </mc:AlternateContent>
  <xr:revisionPtr revIDLastSave="0" documentId="13_ncr:1_{F0CDF379-0930-4346-B198-4682F4964125}" xr6:coauthVersionLast="45" xr6:coauthVersionMax="45" xr10:uidLastSave="{00000000-0000-0000-0000-000000000000}"/>
  <bookViews>
    <workbookView xWindow="20370" yWindow="-120" windowWidth="29040" windowHeight="15840" activeTab="1" xr2:uid="{00000000-000D-0000-FFFF-FFFF00000000}"/>
  </bookViews>
  <sheets>
    <sheet name="1º ADJUNTO" sheetId="1" r:id="rId1"/>
    <sheet name="2º ADJUNTO" sheetId="2" r:id="rId2"/>
    <sheet name="Hoja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" i="1" l="1"/>
  <c r="W49" i="1"/>
  <c r="W48" i="1"/>
  <c r="W47" i="1"/>
  <c r="W46" i="1"/>
  <c r="W45" i="1"/>
  <c r="W44" i="1"/>
  <c r="W42" i="1"/>
  <c r="W41" i="1"/>
  <c r="W40" i="1"/>
  <c r="W39" i="1"/>
  <c r="W38" i="1"/>
  <c r="W37" i="1"/>
  <c r="W35" i="1"/>
  <c r="W36" i="1"/>
  <c r="W33" i="1"/>
  <c r="W32" i="1"/>
  <c r="W34" i="1"/>
  <c r="W31" i="1"/>
  <c r="W27" i="1"/>
  <c r="W30" i="1"/>
  <c r="W29" i="1"/>
  <c r="W28" i="1"/>
  <c r="W26" i="1"/>
  <c r="W20" i="1"/>
  <c r="W21" i="1"/>
  <c r="W22" i="1"/>
  <c r="W23" i="1"/>
  <c r="W24" i="1"/>
  <c r="W19" i="1"/>
  <c r="W18" i="1"/>
  <c r="T45" i="1"/>
  <c r="T46" i="1"/>
  <c r="T47" i="1"/>
  <c r="T44" i="1"/>
  <c r="T38" i="1"/>
  <c r="T37" i="1"/>
  <c r="T35" i="1"/>
  <c r="T36" i="1"/>
  <c r="T34" i="1"/>
  <c r="T33" i="1"/>
  <c r="T32" i="1"/>
  <c r="T31" i="1"/>
  <c r="T27" i="1"/>
  <c r="T30" i="1"/>
  <c r="T29" i="1"/>
  <c r="T28" i="1"/>
  <c r="T26" i="1"/>
  <c r="T19" i="1"/>
  <c r="T20" i="1"/>
  <c r="T21" i="1"/>
  <c r="T22" i="1"/>
  <c r="T23" i="1"/>
  <c r="T24" i="1"/>
  <c r="T18" i="1"/>
  <c r="P53" i="1"/>
  <c r="P54" i="1"/>
  <c r="P52" i="1"/>
  <c r="P45" i="1"/>
  <c r="P46" i="1"/>
  <c r="P47" i="1"/>
  <c r="P48" i="1"/>
  <c r="P49" i="1"/>
  <c r="P50" i="1"/>
  <c r="P44" i="1"/>
  <c r="P42" i="1"/>
  <c r="P41" i="1"/>
  <c r="P40" i="1"/>
  <c r="P39" i="1"/>
  <c r="P38" i="1"/>
  <c r="P37" i="1"/>
  <c r="P35" i="1"/>
  <c r="P36" i="1"/>
  <c r="P33" i="1"/>
  <c r="P32" i="1"/>
  <c r="P34" i="1"/>
  <c r="P31" i="1"/>
  <c r="P27" i="1"/>
  <c r="P30" i="1"/>
  <c r="P29" i="1"/>
  <c r="P28" i="1"/>
  <c r="P26" i="1"/>
  <c r="P19" i="1"/>
  <c r="P20" i="1"/>
  <c r="P21" i="1"/>
  <c r="P22" i="1"/>
  <c r="P23" i="1"/>
  <c r="P24" i="1"/>
  <c r="P18" i="1"/>
  <c r="Y55" i="1" l="1"/>
  <c r="W55" i="1"/>
  <c r="T55" i="1"/>
  <c r="P55" i="1"/>
  <c r="K55" i="1"/>
  <c r="H55" i="1"/>
  <c r="F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</author>
  </authors>
  <commentList>
    <comment ref="AB18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GABRIEL:</t>
        </r>
        <r>
          <rPr>
            <sz val="9"/>
            <color indexed="81"/>
            <rFont val="Tahoma"/>
            <charset val="1"/>
          </rPr>
          <t xml:space="preserve">
BILLETES DE ACION ASOCIADOS A ESTA TAREA</t>
        </r>
      </text>
    </comment>
    <comment ref="AC18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GABRIEL:</t>
        </r>
        <r>
          <rPr>
            <sz val="9"/>
            <color indexed="81"/>
            <rFont val="Tahoma"/>
            <charset val="1"/>
          </rPr>
          <t xml:space="preserve">
DESDE EL HOTEL</t>
        </r>
      </text>
    </comment>
    <comment ref="AD18" authorId="0" shapeId="0" xr:uid="{00000000-0006-0000-0100-000003000000}">
      <text>
        <r>
          <rPr>
            <b/>
            <sz val="9"/>
            <color indexed="81"/>
            <rFont val="Tahoma"/>
            <charset val="1"/>
          </rPr>
          <t>GABRIEL:</t>
        </r>
        <r>
          <rPr>
            <sz val="9"/>
            <color indexed="81"/>
            <rFont val="Tahoma"/>
            <charset val="1"/>
          </rPr>
          <t xml:space="preserve">
esto por cada operario</t>
        </r>
      </text>
    </comment>
  </commentList>
</comments>
</file>

<file path=xl/sharedStrings.xml><?xml version="1.0" encoding="utf-8"?>
<sst xmlns="http://schemas.openxmlformats.org/spreadsheetml/2006/main" count="358" uniqueCount="111">
  <si>
    <t>GRUAS</t>
  </si>
  <si>
    <t>LR 1600 NSº 074610</t>
  </si>
  <si>
    <t>LR 1600 NSº 074615</t>
  </si>
  <si>
    <t>LR 1600 NSº 074619</t>
  </si>
  <si>
    <t>LTR 1100 NSº 97466</t>
  </si>
  <si>
    <t>HORAS PERSONAL</t>
  </si>
  <si>
    <t>HORAS MANIPULADOR</t>
  </si>
  <si>
    <t>FECHA VISITA</t>
  </si>
  <si>
    <t xml:space="preserve">HORAS DE PERDIDA DE GRUA </t>
  </si>
  <si>
    <t>HORAS PERDIDA GRUAS AUX DE APOYO</t>
  </si>
  <si>
    <t>COMPUTO DE HORAS PERDIDAS EN VISITAS DE LIEBHERR A MAQUINAS EN GARANTIA</t>
  </si>
  <si>
    <t>COSTE/H GRUISTAS  LOCALES</t>
  </si>
  <si>
    <t>COSTE/H AYUDANTES</t>
  </si>
  <si>
    <t>COSTE/H MONTADORES</t>
  </si>
  <si>
    <t>COSTE/H TRANSPORTES</t>
  </si>
  <si>
    <t>COSTE /H GRUAS AUX</t>
  </si>
  <si>
    <t>COSTE /H MANIPULADOR</t>
  </si>
  <si>
    <t>COSTE/H GRUISTAS  DESPLAZADO</t>
  </si>
  <si>
    <t>COSTE/H TRANSPORTISTA</t>
  </si>
  <si>
    <t>NA</t>
  </si>
  <si>
    <t>SE AJUSTA GANCHO EN PARALELO+ SE CAMBIA MOTOR DE ARRANQUE</t>
  </si>
  <si>
    <t>FALLO DEL GANCHO Y PARALELLO EN FALLOS EN ORDENADOR</t>
  </si>
  <si>
    <t>MONTADORES( ASOCIADOS A ESTA GRUA 7 OPER)</t>
  </si>
  <si>
    <t>FALLO MODULO BTB + AIRE ACONDICIONADO</t>
  </si>
  <si>
    <t>FUGA EN JUNTAS DE PUNTERIAS+FUGA EN TURBO.</t>
  </si>
  <si>
    <t>SE CAMBIA VALVULA DE CABESTRANTE + JUNTAS TAPAS DE PUNTERIAS</t>
  </si>
  <si>
    <t>CAMBIO CILINDRO DE ESCALERA</t>
  </si>
  <si>
    <t>AYUDANTES(4)</t>
  </si>
  <si>
    <t>CABLE 1 MAS LARGO QUE EL 2 DE FABRICA, SE AJUSTAN INCREMENTALES</t>
  </si>
  <si>
    <t>SE CAMBIA REGLETA QUEMADA, SE OBSERVA MOTRO ELECTRICO LLENO DE AGUA+SE CAMBIA BKE Y SE SOLICITA BTB</t>
  </si>
  <si>
    <t>SE CAMBIA TURBO + VAVULA DE RETENCION.SE PIDEN JUNTAS DE TAPAS DE BALANCINES.</t>
  </si>
  <si>
    <t>SE CAMBIA BTB Y FALLO CONTINUA</t>
  </si>
  <si>
    <t>SE COMRUEBA FUGA EN CILINDROS Y SE HACE REVISION A LOS CABLES.</t>
  </si>
  <si>
    <t>SE CAMBIA CABLE CABESTRANTE 2, SE AJUSTA SEGÚN FABRICA, SE AJUSTA PRESION MAXIMA DE BOMBA 10, SE SOLICITA TURBO</t>
  </si>
  <si>
    <t>SE TENSAN CABLES SEGÚN PROCEDIMIENTO DE FABRICA YA QUE VIENEN MAL TENSADOS+SE CAMBIA INCRMENTAL DE CABESTRANTE</t>
  </si>
  <si>
    <t>SE COMPRUEBAN FUNCIONAMIENTO CAMARAS,SE COMPRUEBA ESTABILIZADOR 3</t>
  </si>
  <si>
    <t>SE CAMBIA CILINDRO 3 Y SE REMPLAZA MODULOS DE LUCES PLUMA.</t>
  </si>
  <si>
    <t>COMPROBAR ORUGAS</t>
  </si>
  <si>
    <t>SE HACE SERVICIO 250 HORAS Y SE HACEN MEDICIONES CHASIS ORUGAS</t>
  </si>
  <si>
    <t>SE CAMBIA TURBO+SE CAMBIA VALVULA+SE PIDEN VALVULAS ESCALERA</t>
  </si>
  <si>
    <t>9X2 AYUDANTES=18 HORAS</t>
  </si>
  <si>
    <t>SE REMPLAZA BOMBA DE AGUA +SE HACE ACTUALIZACION SOFTWARE+SE CAMBIAN TARJETAS +SE CAMBIA BTB Y BTT</t>
  </si>
  <si>
    <t>10X2=20 HORAS</t>
  </si>
  <si>
    <t>9,5X2=19 HORAS</t>
  </si>
  <si>
    <t>SE CAMBIA RELE K800+ SE ACTUALIZA SOFTWARE Y TARJETAS+SE REMPLAZA BTB Y BTT</t>
  </si>
  <si>
    <t>10,5X2=21 HORAS</t>
  </si>
  <si>
    <t>CAMBIAR TUBO METALICO ESTABILIZADOR Nº2 +CAMBIAR SENSOR INCREMENTAL ORUGA IZQ+</t>
  </si>
  <si>
    <t>SE HACEN PRUEBAS EN CILINDRO DE ELEVACION DE PLUMA.</t>
  </si>
  <si>
    <t>2X6=12 HORAS</t>
  </si>
  <si>
    <t>SE CAMBIA CILINDRO ELEVACION PLUMA+ SE COMPRUEBA BULON DE GIRO DEFECTUOSO.</t>
  </si>
  <si>
    <t>7X2=14 HORAS</t>
  </si>
  <si>
    <r>
      <t>COSTE GRUA/DIA (10h)</t>
    </r>
    <r>
      <rPr>
        <b/>
        <u/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euros</t>
    </r>
  </si>
  <si>
    <r>
      <t>COSTE GRUA aux/DIA (10h)</t>
    </r>
    <r>
      <rPr>
        <b/>
        <u/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euros</t>
    </r>
  </si>
  <si>
    <r>
      <t>COSTE tmanipulador/DIA (10h)</t>
    </r>
    <r>
      <rPr>
        <b/>
        <u/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euros</t>
    </r>
  </si>
  <si>
    <t xml:space="preserve">H/GRUISTA
total </t>
  </si>
  <si>
    <t>H/GRUISTA
unitario</t>
  </si>
  <si>
    <t xml:space="preserve">CANTIDAD 
GRUISTA </t>
  </si>
  <si>
    <t>COSTE GRUISTA TOTAL</t>
  </si>
  <si>
    <t>H/TRANSPORTISTAS</t>
  </si>
  <si>
    <r>
      <t>COSTE transporte unitario/DIA (10h)</t>
    </r>
    <r>
      <rPr>
        <b/>
        <u/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euros</t>
    </r>
  </si>
  <si>
    <r>
      <t>COSTE transporte total/DIA (10h)</t>
    </r>
    <r>
      <rPr>
        <b/>
        <u/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euros</t>
    </r>
  </si>
  <si>
    <t>COSTE GRUISTA UNITARIO</t>
  </si>
  <si>
    <t>COSTE MONTADOR UNITARIO</t>
  </si>
  <si>
    <t>COSTE MONTADOR TOTAL</t>
  </si>
  <si>
    <t>COSTE AYUDANTE UNITARIO</t>
  </si>
  <si>
    <t>COSTE AYUDANTE TOTAL</t>
  </si>
  <si>
    <t>ACTIVIDAD A REALIZAR 
POR LB</t>
  </si>
  <si>
    <t>GRUA PRINCIPAL</t>
  </si>
  <si>
    <t>GRUA AUXILIAR</t>
  </si>
  <si>
    <t>HORAS TRANSPORTES ASOCIADOS A ESTA GRUA (3 TRANSPORTES)</t>
  </si>
  <si>
    <t>TRANSPORTE</t>
  </si>
  <si>
    <t>MANIPULADOR</t>
  </si>
  <si>
    <t>TOTAL</t>
  </si>
  <si>
    <t>DIETAS</t>
  </si>
  <si>
    <t xml:space="preserve"> PERSONAL</t>
  </si>
  <si>
    <t>VIAJES</t>
  </si>
  <si>
    <t>LG 1750 NSº 73776</t>
  </si>
  <si>
    <t>ENTREGA DE CONFIGURACION REFORFOZADA</t>
  </si>
  <si>
    <t xml:space="preserve">KM DE VIAJE </t>
  </si>
  <si>
    <t>MONTADORES( ASOCIADOS A ESTA GRUA OPER)</t>
  </si>
  <si>
    <t>AYUDANTES</t>
  </si>
  <si>
    <t>7 OPER</t>
  </si>
  <si>
    <t>45KM</t>
  </si>
  <si>
    <t>7 HORAS</t>
  </si>
  <si>
    <t>VEHICULOS</t>
  </si>
  <si>
    <t xml:space="preserve">HORAS TRANSPORTES ASOCIADOS A ESTA GRUA </t>
  </si>
  <si>
    <t>LR 1600 NSº 07461</t>
  </si>
  <si>
    <t>COLOCAR SELLOS A BOMBA AUX</t>
  </si>
  <si>
    <t xml:space="preserve">TIPO DE TRABAJO </t>
  </si>
  <si>
    <t>ENTREGA</t>
  </si>
  <si>
    <t>GARANTIA</t>
  </si>
  <si>
    <t>5,5 HORAS</t>
  </si>
  <si>
    <t>1 OPER</t>
  </si>
  <si>
    <t>SE REMPLAZA VALVULA DE RETENCION.</t>
  </si>
  <si>
    <t>5HORAS</t>
  </si>
  <si>
    <t>10,5 HORAS</t>
  </si>
  <si>
    <t>10 HORAS</t>
  </si>
  <si>
    <t>9,5 HORAS</t>
  </si>
  <si>
    <t>CANTIDAD DE GRUAS AUX</t>
  </si>
  <si>
    <t>45 KM</t>
  </si>
  <si>
    <t>HORAS VIAJE OPER UNIT</t>
  </si>
  <si>
    <t>1º MONTAJE DE LG DESPUES DE LA REPARACION</t>
  </si>
  <si>
    <t>1º MONTAJE</t>
  </si>
  <si>
    <t>COSTE GRUA TOTAL</t>
  </si>
  <si>
    <t>COSTE GRUA aux TOTAL</t>
  </si>
  <si>
    <t>9 HORAS</t>
  </si>
  <si>
    <t>LR 1600 # 048 036</t>
  </si>
  <si>
    <t>350 Km Viaje a proyecto + regreso</t>
  </si>
  <si>
    <t>350 Km</t>
  </si>
  <si>
    <t>4 Horas</t>
  </si>
  <si>
    <t>Evaluacion falta de presion bomba 10 - 3,5 Horas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</si>
</sst>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1" fillId="2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1" fillId="2" borderId="9" xfId="0" applyFont="1" applyFill="1" applyBorder="1"/>
    <xf numFmtId="0" fontId="0" fillId="0" borderId="8" xfId="0" applyBorder="1"/>
    <xf numFmtId="0" fontId="0" fillId="3" borderId="0" xfId="0" applyFill="1"/>
    <xf numFmtId="0" fontId="0" fillId="0" borderId="0" xfId="0" applyFill="1"/>
    <xf numFmtId="0" fontId="0" fillId="0" borderId="8" xfId="0" applyBorder="1" applyAlignment="1">
      <alignment wrapText="1"/>
    </xf>
    <xf numFmtId="14" fontId="0" fillId="0" borderId="8" xfId="0" applyNumberFormat="1" applyBorder="1" applyAlignment="1">
      <alignment horizontal="center"/>
    </xf>
    <xf numFmtId="14" fontId="0" fillId="0" borderId="8" xfId="0" applyNumberFormat="1" applyBorder="1" applyAlignment="1">
      <alignment horizontal="center" wrapText="1"/>
    </xf>
    <xf numFmtId="0" fontId="1" fillId="4" borderId="9" xfId="0" applyFont="1" applyFill="1" applyBorder="1"/>
    <xf numFmtId="0" fontId="0" fillId="4" borderId="8" xfId="0" applyFill="1" applyBorder="1"/>
    <xf numFmtId="0" fontId="0" fillId="0" borderId="10" xfId="0" applyBorder="1" applyAlignment="1">
      <alignment wrapText="1"/>
    </xf>
    <xf numFmtId="14" fontId="0" fillId="0" borderId="11" xfId="0" applyNumberFormat="1" applyBorder="1" applyAlignment="1">
      <alignment horizontal="center"/>
    </xf>
    <xf numFmtId="0" fontId="1" fillId="2" borderId="12" xfId="0" applyFont="1" applyFill="1" applyBorder="1"/>
    <xf numFmtId="14" fontId="0" fillId="0" borderId="13" xfId="0" applyNumberFormat="1" applyBorder="1" applyAlignment="1">
      <alignment horizontal="center"/>
    </xf>
    <xf numFmtId="0" fontId="0" fillId="0" borderId="11" xfId="0" applyBorder="1" applyAlignment="1">
      <alignment wrapText="1"/>
    </xf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1" fillId="3" borderId="12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 wrapText="1"/>
    </xf>
    <xf numFmtId="0" fontId="0" fillId="0" borderId="8" xfId="0" applyBorder="1" applyAlignment="1">
      <alignment horizontal="right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0" fillId="0" borderId="19" xfId="0" applyBorder="1"/>
    <xf numFmtId="0" fontId="0" fillId="0" borderId="20" xfId="0" applyBorder="1"/>
    <xf numFmtId="0" fontId="6" fillId="0" borderId="1" xfId="0" applyFont="1" applyBorder="1"/>
    <xf numFmtId="0" fontId="6" fillId="0" borderId="0" xfId="0" applyFont="1"/>
    <xf numFmtId="0" fontId="1" fillId="5" borderId="0" xfId="0" applyFont="1" applyFill="1" applyBorder="1" applyAlignment="1">
      <alignment horizontal="center"/>
    </xf>
    <xf numFmtId="0" fontId="0" fillId="0" borderId="0" xfId="0" applyBorder="1"/>
    <xf numFmtId="0" fontId="1" fillId="3" borderId="5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5" xfId="0" applyFont="1" applyFill="1" applyBorder="1" applyAlignment="1">
      <alignment horizontal="center" wrapText="1"/>
    </xf>
    <xf numFmtId="14" fontId="0" fillId="0" borderId="13" xfId="0" applyNumberFormat="1" applyBorder="1" applyAlignment="1">
      <alignment horizontal="center" wrapText="1"/>
    </xf>
    <xf numFmtId="0" fontId="0" fillId="0" borderId="1" xfId="0" applyBorder="1"/>
    <xf numFmtId="0" fontId="0" fillId="0" borderId="10" xfId="0" applyBorder="1"/>
    <xf numFmtId="0" fontId="1" fillId="2" borderId="12" xfId="0" applyFont="1" applyFill="1" applyBorder="1" applyAlignment="1">
      <alignment wrapText="1"/>
    </xf>
    <xf numFmtId="0" fontId="1" fillId="2" borderId="1" xfId="0" applyFont="1" applyFill="1" applyBorder="1"/>
    <xf numFmtId="14" fontId="0" fillId="0" borderId="10" xfId="0" applyNumberForma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V55"/>
  <sheetViews>
    <sheetView topLeftCell="A7" zoomScale="70" zoomScaleNormal="70" workbookViewId="0">
      <selection activeCell="B24" sqref="B1:Y24"/>
    </sheetView>
  </sheetViews>
  <sheetFormatPr baseColWidth="10" defaultRowHeight="15" x14ac:dyDescent="0.25"/>
  <cols>
    <col min="1" max="1" width="9.85546875" customWidth="1"/>
    <col min="2" max="2" width="26.7109375" customWidth="1"/>
    <col min="3" max="3" width="18.5703125" customWidth="1"/>
    <col min="4" max="4" width="30.5703125" customWidth="1"/>
    <col min="5" max="6" width="30.85546875" customWidth="1"/>
    <col min="7" max="8" width="32.85546875" customWidth="1"/>
    <col min="9" max="9" width="43.85546875" bestFit="1" customWidth="1"/>
    <col min="10" max="11" width="43.85546875" customWidth="1"/>
    <col min="12" max="12" width="13.5703125" bestFit="1" customWidth="1"/>
    <col min="13" max="14" width="14.5703125" bestFit="1" customWidth="1"/>
    <col min="15" max="15" width="14.5703125" customWidth="1"/>
    <col min="16" max="16" width="19.140625" customWidth="1"/>
    <col min="17" max="17" width="25.85546875" bestFit="1" customWidth="1"/>
    <col min="18" max="18" width="34.42578125" bestFit="1" customWidth="1"/>
    <col min="19" max="20" width="34.42578125" customWidth="1"/>
    <col min="21" max="21" width="21.5703125" bestFit="1" customWidth="1"/>
    <col min="22" max="23" width="21.5703125" customWidth="1"/>
    <col min="24" max="24" width="22" customWidth="1"/>
    <col min="25" max="25" width="33.42578125" bestFit="1" customWidth="1"/>
  </cols>
  <sheetData>
    <row r="2" spans="2:25" ht="18.75" x14ac:dyDescent="0.3">
      <c r="B2" s="1" t="s">
        <v>10</v>
      </c>
      <c r="C2" s="1"/>
      <c r="D2" s="1"/>
      <c r="E2" s="1"/>
      <c r="F2" s="1"/>
    </row>
    <row r="3" spans="2:25" ht="19.5" thickBot="1" x14ac:dyDescent="0.35">
      <c r="B3" s="1"/>
      <c r="C3" s="1"/>
      <c r="D3" s="1"/>
      <c r="E3" s="1"/>
      <c r="F3" s="1"/>
    </row>
    <row r="4" spans="2:25" ht="30" customHeight="1" thickBot="1" x14ac:dyDescent="0.35">
      <c r="B4" s="7" t="s">
        <v>17</v>
      </c>
      <c r="C4" s="3"/>
      <c r="D4" s="1"/>
      <c r="E4" s="1"/>
      <c r="F4" s="1"/>
    </row>
    <row r="5" spans="2:25" ht="25.5" customHeight="1" thickBot="1" x14ac:dyDescent="0.35">
      <c r="B5" s="7" t="s">
        <v>11</v>
      </c>
      <c r="C5" s="4"/>
      <c r="D5" s="1"/>
      <c r="E5" s="1"/>
      <c r="F5" s="1"/>
    </row>
    <row r="6" spans="2:25" ht="19.5" thickBot="1" x14ac:dyDescent="0.35">
      <c r="B6" s="7" t="s">
        <v>12</v>
      </c>
      <c r="C6" s="5"/>
      <c r="D6" s="1"/>
      <c r="E6" s="1"/>
      <c r="F6" s="1"/>
    </row>
    <row r="7" spans="2:25" ht="19.5" thickBot="1" x14ac:dyDescent="0.35">
      <c r="B7" s="7" t="s">
        <v>13</v>
      </c>
      <c r="C7" s="5"/>
      <c r="D7" s="1"/>
      <c r="E7" s="1"/>
      <c r="F7" s="1"/>
    </row>
    <row r="8" spans="2:25" ht="27" customHeight="1" thickBot="1" x14ac:dyDescent="0.35">
      <c r="B8" s="7" t="s">
        <v>18</v>
      </c>
      <c r="C8" s="5"/>
      <c r="D8" s="1"/>
      <c r="E8" s="1"/>
      <c r="F8" s="1"/>
    </row>
    <row r="9" spans="2:25" ht="32.25" customHeight="1" thickBot="1" x14ac:dyDescent="0.35">
      <c r="B9" s="7" t="s">
        <v>14</v>
      </c>
      <c r="C9" s="5"/>
      <c r="D9" s="1"/>
      <c r="E9" s="1"/>
      <c r="F9" s="1"/>
    </row>
    <row r="10" spans="2:25" ht="19.5" thickBot="1" x14ac:dyDescent="0.35">
      <c r="B10" s="7" t="s">
        <v>15</v>
      </c>
      <c r="C10" s="5"/>
      <c r="D10" s="1"/>
      <c r="E10" s="1"/>
      <c r="F10" s="1"/>
    </row>
    <row r="11" spans="2:25" ht="26.25" customHeight="1" thickBot="1" x14ac:dyDescent="0.35">
      <c r="B11" s="7" t="s">
        <v>16</v>
      </c>
      <c r="C11" s="5"/>
      <c r="D11" s="1"/>
      <c r="E11" s="1"/>
      <c r="F11" s="1"/>
    </row>
    <row r="12" spans="2:25" ht="18.75" x14ac:dyDescent="0.3">
      <c r="B12" s="2"/>
      <c r="C12" s="2"/>
      <c r="D12" s="1"/>
      <c r="E12" s="1"/>
      <c r="F12" s="1"/>
    </row>
    <row r="13" spans="2:25" ht="18.75" x14ac:dyDescent="0.3">
      <c r="B13" s="2"/>
      <c r="C13" s="2"/>
      <c r="D13" s="1"/>
      <c r="E13" s="1"/>
      <c r="F13" s="1"/>
    </row>
    <row r="14" spans="2:25" ht="10.5" customHeight="1" thickBot="1" x14ac:dyDescent="0.3"/>
    <row r="15" spans="2:25" ht="30.75" customHeight="1" x14ac:dyDescent="0.25">
      <c r="B15" s="50" t="s">
        <v>0</v>
      </c>
      <c r="C15" s="50" t="s">
        <v>7</v>
      </c>
      <c r="D15" s="53" t="s">
        <v>66</v>
      </c>
      <c r="E15" s="46" t="s">
        <v>67</v>
      </c>
      <c r="F15" s="47"/>
      <c r="G15" s="46" t="s">
        <v>68</v>
      </c>
      <c r="H15" s="47"/>
      <c r="I15" s="46" t="s">
        <v>70</v>
      </c>
      <c r="J15" s="54"/>
      <c r="K15" s="47"/>
      <c r="L15" s="56" t="s">
        <v>5</v>
      </c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8"/>
      <c r="X15" s="46" t="s">
        <v>71</v>
      </c>
      <c r="Y15" s="47"/>
    </row>
    <row r="16" spans="2:25" ht="9.75" customHeight="1" thickBot="1" x14ac:dyDescent="0.3">
      <c r="B16" s="51"/>
      <c r="C16" s="51"/>
      <c r="D16" s="51"/>
      <c r="E16" s="48"/>
      <c r="F16" s="49"/>
      <c r="G16" s="48"/>
      <c r="H16" s="49"/>
      <c r="I16" s="48"/>
      <c r="J16" s="55"/>
      <c r="K16" s="49"/>
      <c r="L16" s="59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1"/>
      <c r="X16" s="48"/>
      <c r="Y16" s="49"/>
    </row>
    <row r="17" spans="2:25" ht="49.5" customHeight="1" thickBot="1" x14ac:dyDescent="0.3">
      <c r="B17" s="52"/>
      <c r="C17" s="52"/>
      <c r="D17" s="52"/>
      <c r="E17" s="29" t="s">
        <v>8</v>
      </c>
      <c r="F17" s="25" t="s">
        <v>51</v>
      </c>
      <c r="G17" s="6" t="s">
        <v>9</v>
      </c>
      <c r="H17" s="25" t="s">
        <v>52</v>
      </c>
      <c r="I17" s="6" t="s">
        <v>69</v>
      </c>
      <c r="J17" s="27" t="s">
        <v>59</v>
      </c>
      <c r="K17" s="25" t="s">
        <v>60</v>
      </c>
      <c r="L17" s="6" t="s">
        <v>56</v>
      </c>
      <c r="M17" s="6" t="s">
        <v>55</v>
      </c>
      <c r="N17" s="6" t="s">
        <v>54</v>
      </c>
      <c r="O17" s="6" t="s">
        <v>61</v>
      </c>
      <c r="P17" s="26" t="s">
        <v>57</v>
      </c>
      <c r="Q17" s="6" t="s">
        <v>58</v>
      </c>
      <c r="R17" s="6" t="s">
        <v>22</v>
      </c>
      <c r="S17" s="6" t="s">
        <v>62</v>
      </c>
      <c r="T17" s="26" t="s">
        <v>63</v>
      </c>
      <c r="U17" s="6" t="s">
        <v>27</v>
      </c>
      <c r="V17" s="6" t="s">
        <v>64</v>
      </c>
      <c r="W17" s="26" t="s">
        <v>65</v>
      </c>
      <c r="X17" s="6" t="s">
        <v>6</v>
      </c>
      <c r="Y17" s="30" t="s">
        <v>53</v>
      </c>
    </row>
    <row r="18" spans="2:25" ht="55.5" customHeight="1" thickBot="1" x14ac:dyDescent="0.3">
      <c r="B18" s="19" t="s">
        <v>1</v>
      </c>
      <c r="C18" s="20">
        <v>42037</v>
      </c>
      <c r="D18" s="21" t="s">
        <v>20</v>
      </c>
      <c r="E18" s="22">
        <v>10</v>
      </c>
      <c r="F18" s="23">
        <v>6000</v>
      </c>
      <c r="G18" s="23">
        <v>10</v>
      </c>
      <c r="H18" s="23">
        <v>1000</v>
      </c>
      <c r="I18" s="22">
        <v>10</v>
      </c>
      <c r="J18" s="24">
        <v>1000</v>
      </c>
      <c r="K18" s="24">
        <v>3000</v>
      </c>
      <c r="L18" s="24">
        <v>2</v>
      </c>
      <c r="M18" s="24">
        <v>10</v>
      </c>
      <c r="N18" s="24">
        <v>20</v>
      </c>
      <c r="O18" s="24">
        <v>1589.7</v>
      </c>
      <c r="P18" s="24">
        <f>(O18*2)</f>
        <v>3179.4</v>
      </c>
      <c r="Q18" s="22">
        <v>30</v>
      </c>
      <c r="R18" s="22">
        <v>70</v>
      </c>
      <c r="S18" s="22">
        <v>1589.7</v>
      </c>
      <c r="T18" s="22">
        <f>(S18*7)</f>
        <v>11127.9</v>
      </c>
      <c r="U18" s="22">
        <v>40</v>
      </c>
      <c r="V18" s="22">
        <v>991.35</v>
      </c>
      <c r="W18" s="22">
        <f>(V18*4)</f>
        <v>3965.4</v>
      </c>
      <c r="X18" s="22" t="s">
        <v>19</v>
      </c>
      <c r="Y18" s="24"/>
    </row>
    <row r="19" spans="2:25" ht="45.75" thickBot="1" x14ac:dyDescent="0.3">
      <c r="B19" s="8" t="s">
        <v>1</v>
      </c>
      <c r="C19" s="13">
        <v>42040</v>
      </c>
      <c r="D19" s="17" t="s">
        <v>20</v>
      </c>
      <c r="E19" s="9">
        <v>10</v>
      </c>
      <c r="F19" s="9">
        <v>6000</v>
      </c>
      <c r="G19" s="9">
        <v>10</v>
      </c>
      <c r="H19" s="23">
        <v>1000</v>
      </c>
      <c r="I19" s="22">
        <v>10</v>
      </c>
      <c r="J19" s="24">
        <v>1000</v>
      </c>
      <c r="K19" s="24">
        <v>3000</v>
      </c>
      <c r="L19" s="22">
        <v>2</v>
      </c>
      <c r="M19" s="22">
        <v>10</v>
      </c>
      <c r="N19" s="22">
        <v>20</v>
      </c>
      <c r="O19" s="24">
        <v>1589.7</v>
      </c>
      <c r="P19" s="24">
        <f t="shared" ref="P19:P33" si="0">(O19*2)</f>
        <v>3179.4</v>
      </c>
      <c r="Q19" s="9">
        <v>30</v>
      </c>
      <c r="R19" s="9">
        <v>70</v>
      </c>
      <c r="S19" s="22">
        <v>1589.7</v>
      </c>
      <c r="T19" s="22">
        <f t="shared" ref="T19:T38" si="1">(S19*7)</f>
        <v>11127.9</v>
      </c>
      <c r="U19" s="9">
        <v>40</v>
      </c>
      <c r="V19" s="22">
        <v>991.35</v>
      </c>
      <c r="W19" s="22">
        <f>(V19*4)</f>
        <v>3965.4</v>
      </c>
      <c r="X19" s="9" t="s">
        <v>19</v>
      </c>
      <c r="Y19" s="22"/>
    </row>
    <row r="20" spans="2:25" ht="45" customHeight="1" thickBot="1" x14ac:dyDescent="0.3">
      <c r="B20" s="8" t="s">
        <v>1</v>
      </c>
      <c r="C20" s="18">
        <v>42119</v>
      </c>
      <c r="D20" s="12" t="s">
        <v>24</v>
      </c>
      <c r="E20" s="9">
        <v>5</v>
      </c>
      <c r="F20" s="9">
        <v>6000</v>
      </c>
      <c r="G20" s="9">
        <v>5</v>
      </c>
      <c r="H20" s="23">
        <v>1000</v>
      </c>
      <c r="I20" s="9">
        <v>5</v>
      </c>
      <c r="J20" s="24">
        <v>1000</v>
      </c>
      <c r="K20" s="24">
        <v>3000</v>
      </c>
      <c r="L20" s="9">
        <v>2</v>
      </c>
      <c r="M20" s="9">
        <v>5</v>
      </c>
      <c r="N20" s="9">
        <v>10</v>
      </c>
      <c r="O20" s="24">
        <v>832.7</v>
      </c>
      <c r="P20" s="24">
        <f t="shared" si="0"/>
        <v>1665.4</v>
      </c>
      <c r="Q20" s="9">
        <v>15</v>
      </c>
      <c r="R20" s="9">
        <v>35</v>
      </c>
      <c r="S20" s="9">
        <v>832.7</v>
      </c>
      <c r="T20" s="22">
        <f t="shared" si="1"/>
        <v>5828.9000000000005</v>
      </c>
      <c r="U20" s="9">
        <v>20</v>
      </c>
      <c r="V20" s="9">
        <v>541.35</v>
      </c>
      <c r="W20" s="22">
        <f t="shared" ref="W20:W33" si="2">(V20*4)</f>
        <v>2165.4</v>
      </c>
      <c r="X20" s="9" t="s">
        <v>19</v>
      </c>
      <c r="Y20" s="9"/>
    </row>
    <row r="21" spans="2:25" ht="45.75" thickBot="1" x14ac:dyDescent="0.3">
      <c r="B21" s="8" t="s">
        <v>1</v>
      </c>
      <c r="C21" s="13">
        <v>42137</v>
      </c>
      <c r="D21" s="12" t="s">
        <v>25</v>
      </c>
      <c r="E21" s="9">
        <v>10</v>
      </c>
      <c r="F21" s="9">
        <v>6000</v>
      </c>
      <c r="G21" s="9">
        <v>10</v>
      </c>
      <c r="H21" s="23">
        <v>1000</v>
      </c>
      <c r="I21" s="9">
        <v>10</v>
      </c>
      <c r="J21" s="24">
        <v>1000</v>
      </c>
      <c r="K21" s="24">
        <v>3000</v>
      </c>
      <c r="L21" s="9">
        <v>2</v>
      </c>
      <c r="M21" s="9">
        <v>10</v>
      </c>
      <c r="N21" s="9">
        <v>20</v>
      </c>
      <c r="O21" s="24">
        <v>1589.7</v>
      </c>
      <c r="P21" s="24">
        <f t="shared" si="0"/>
        <v>3179.4</v>
      </c>
      <c r="Q21" s="9">
        <v>30</v>
      </c>
      <c r="R21" s="9">
        <v>70</v>
      </c>
      <c r="S21" s="22">
        <v>1589.7</v>
      </c>
      <c r="T21" s="22">
        <f t="shared" si="1"/>
        <v>11127.9</v>
      </c>
      <c r="U21" s="9">
        <v>40</v>
      </c>
      <c r="V21" s="22">
        <v>991.35</v>
      </c>
      <c r="W21" s="22">
        <f t="shared" si="2"/>
        <v>3965.4</v>
      </c>
      <c r="X21" s="9" t="s">
        <v>19</v>
      </c>
      <c r="Y21" s="9"/>
    </row>
    <row r="22" spans="2:25" ht="48.75" customHeight="1" thickBot="1" x14ac:dyDescent="0.3">
      <c r="B22" s="8" t="s">
        <v>1</v>
      </c>
      <c r="C22" s="13">
        <v>42171</v>
      </c>
      <c r="D22" s="12" t="s">
        <v>30</v>
      </c>
      <c r="E22" s="9">
        <v>10.5</v>
      </c>
      <c r="F22" s="9">
        <v>6000</v>
      </c>
      <c r="G22" s="9">
        <v>10.5</v>
      </c>
      <c r="H22" s="23">
        <v>1000</v>
      </c>
      <c r="I22" s="9">
        <v>10.5</v>
      </c>
      <c r="J22" s="24">
        <v>1000</v>
      </c>
      <c r="K22" s="24">
        <v>3000</v>
      </c>
      <c r="L22" s="9">
        <v>2</v>
      </c>
      <c r="M22" s="9">
        <v>10.5</v>
      </c>
      <c r="N22" s="9">
        <v>21</v>
      </c>
      <c r="O22" s="24">
        <v>1665.4</v>
      </c>
      <c r="P22" s="24">
        <f t="shared" si="0"/>
        <v>3330.8</v>
      </c>
      <c r="Q22" s="9">
        <v>31.5</v>
      </c>
      <c r="R22" s="9">
        <v>73.5</v>
      </c>
      <c r="S22" s="9">
        <v>1665.4</v>
      </c>
      <c r="T22" s="22">
        <f t="shared" si="1"/>
        <v>11657.800000000001</v>
      </c>
      <c r="U22" s="9">
        <v>42</v>
      </c>
      <c r="V22" s="9">
        <v>1036.3499999999999</v>
      </c>
      <c r="W22" s="22">
        <f t="shared" si="2"/>
        <v>4145.3999999999996</v>
      </c>
      <c r="X22" s="9" t="s">
        <v>19</v>
      </c>
      <c r="Y22" s="9"/>
    </row>
    <row r="23" spans="2:25" ht="72.75" customHeight="1" thickBot="1" x14ac:dyDescent="0.3">
      <c r="B23" s="8" t="s">
        <v>1</v>
      </c>
      <c r="C23" s="13">
        <v>42172</v>
      </c>
      <c r="D23" s="12" t="s">
        <v>30</v>
      </c>
      <c r="E23" s="9">
        <v>4</v>
      </c>
      <c r="F23" s="9">
        <v>6000</v>
      </c>
      <c r="G23" s="9">
        <v>4</v>
      </c>
      <c r="H23" s="23">
        <v>1000</v>
      </c>
      <c r="I23" s="9">
        <v>4</v>
      </c>
      <c r="J23" s="24">
        <v>1000</v>
      </c>
      <c r="K23" s="24">
        <v>3000</v>
      </c>
      <c r="L23" s="9">
        <v>2</v>
      </c>
      <c r="M23" s="9">
        <v>4</v>
      </c>
      <c r="N23" s="9">
        <v>8</v>
      </c>
      <c r="O23" s="24">
        <v>681.3</v>
      </c>
      <c r="P23" s="24">
        <f t="shared" si="0"/>
        <v>1362.6</v>
      </c>
      <c r="Q23" s="9">
        <v>12</v>
      </c>
      <c r="R23" s="9">
        <v>28</v>
      </c>
      <c r="S23" s="28">
        <v>681.3</v>
      </c>
      <c r="T23" s="22">
        <f t="shared" si="1"/>
        <v>4769.0999999999995</v>
      </c>
      <c r="U23" s="9">
        <v>16</v>
      </c>
      <c r="V23" s="9">
        <v>451.35</v>
      </c>
      <c r="W23" s="22">
        <f t="shared" si="2"/>
        <v>1805.4</v>
      </c>
      <c r="X23" s="9" t="s">
        <v>19</v>
      </c>
      <c r="Y23" s="9"/>
    </row>
    <row r="24" spans="2:25" ht="70.5" customHeight="1" thickBot="1" x14ac:dyDescent="0.3">
      <c r="B24" s="8" t="s">
        <v>1</v>
      </c>
      <c r="C24" s="13">
        <v>42173</v>
      </c>
      <c r="D24" s="12" t="s">
        <v>30</v>
      </c>
      <c r="E24" s="9">
        <v>7</v>
      </c>
      <c r="F24" s="9">
        <v>6000</v>
      </c>
      <c r="G24" s="9">
        <v>7</v>
      </c>
      <c r="H24" s="23">
        <v>1000</v>
      </c>
      <c r="I24" s="9">
        <v>7</v>
      </c>
      <c r="J24" s="24">
        <v>1000</v>
      </c>
      <c r="K24" s="24">
        <v>3000</v>
      </c>
      <c r="L24" s="9">
        <v>2</v>
      </c>
      <c r="M24" s="9">
        <v>7</v>
      </c>
      <c r="N24" s="9">
        <v>14</v>
      </c>
      <c r="O24" s="24">
        <v>1135.5</v>
      </c>
      <c r="P24" s="24">
        <f t="shared" si="0"/>
        <v>2271</v>
      </c>
      <c r="Q24" s="9">
        <v>21</v>
      </c>
      <c r="R24" s="9">
        <v>49</v>
      </c>
      <c r="S24" s="9">
        <v>1135.5</v>
      </c>
      <c r="T24" s="22">
        <f t="shared" si="1"/>
        <v>7948.5</v>
      </c>
      <c r="U24" s="9">
        <v>36</v>
      </c>
      <c r="V24" s="9">
        <v>901.35</v>
      </c>
      <c r="W24" s="22">
        <f t="shared" si="2"/>
        <v>3605.4</v>
      </c>
      <c r="X24" s="9" t="s">
        <v>19</v>
      </c>
      <c r="Y24" s="9"/>
    </row>
    <row r="25" spans="2:25" ht="14.25" customHeight="1" thickBot="1" x14ac:dyDescent="0.3"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2:25" ht="33" customHeight="1" thickBot="1" x14ac:dyDescent="0.3">
      <c r="B26" s="8" t="s">
        <v>2</v>
      </c>
      <c r="C26" s="13">
        <v>42041</v>
      </c>
      <c r="D26" s="12" t="s">
        <v>21</v>
      </c>
      <c r="E26" s="9">
        <v>10.5</v>
      </c>
      <c r="F26" s="9">
        <v>6000</v>
      </c>
      <c r="G26" s="9">
        <v>10.5</v>
      </c>
      <c r="H26" s="23">
        <v>1000</v>
      </c>
      <c r="I26" s="9">
        <v>10</v>
      </c>
      <c r="J26" s="24">
        <v>1000</v>
      </c>
      <c r="K26" s="24">
        <v>3000</v>
      </c>
      <c r="L26" s="9">
        <v>2</v>
      </c>
      <c r="M26" s="9">
        <v>10.5</v>
      </c>
      <c r="N26" s="9">
        <v>21</v>
      </c>
      <c r="O26" s="24">
        <v>1665.4</v>
      </c>
      <c r="P26" s="24">
        <f t="shared" si="0"/>
        <v>3330.8</v>
      </c>
      <c r="Q26" s="9">
        <v>31.5</v>
      </c>
      <c r="R26" s="9">
        <v>73.5</v>
      </c>
      <c r="S26" s="9">
        <v>1665.4</v>
      </c>
      <c r="T26" s="22">
        <f t="shared" si="1"/>
        <v>11657.800000000001</v>
      </c>
      <c r="U26" s="9">
        <v>42</v>
      </c>
      <c r="V26" s="9">
        <v>1036.3499999999999</v>
      </c>
      <c r="W26" s="22">
        <f t="shared" si="2"/>
        <v>4145.3999999999996</v>
      </c>
      <c r="X26" s="9" t="s">
        <v>19</v>
      </c>
      <c r="Y26" s="9"/>
    </row>
    <row r="27" spans="2:25" ht="33" customHeight="1" thickBot="1" x14ac:dyDescent="0.3">
      <c r="B27" s="8" t="s">
        <v>2</v>
      </c>
      <c r="C27" s="13">
        <v>42118</v>
      </c>
      <c r="D27" s="12" t="s">
        <v>23</v>
      </c>
      <c r="E27" s="9">
        <v>12</v>
      </c>
      <c r="F27" s="9">
        <v>6000</v>
      </c>
      <c r="G27" s="9">
        <v>12</v>
      </c>
      <c r="H27" s="23">
        <v>1000</v>
      </c>
      <c r="I27" s="9">
        <v>12</v>
      </c>
      <c r="J27" s="24">
        <v>1000</v>
      </c>
      <c r="K27" s="24">
        <v>3000</v>
      </c>
      <c r="L27" s="9">
        <v>2</v>
      </c>
      <c r="M27" s="9">
        <v>12</v>
      </c>
      <c r="N27" s="9">
        <v>24</v>
      </c>
      <c r="O27" s="9">
        <v>1892.5</v>
      </c>
      <c r="P27" s="9">
        <f t="shared" si="0"/>
        <v>3785</v>
      </c>
      <c r="Q27" s="9">
        <v>36</v>
      </c>
      <c r="R27" s="9">
        <v>84</v>
      </c>
      <c r="S27" s="9">
        <v>1892.5</v>
      </c>
      <c r="T27" s="9">
        <f t="shared" si="1"/>
        <v>13247.5</v>
      </c>
      <c r="U27" s="9">
        <v>48</v>
      </c>
      <c r="V27" s="9">
        <v>1171.3499999999999</v>
      </c>
      <c r="W27" s="9">
        <f t="shared" si="2"/>
        <v>4685.3999999999996</v>
      </c>
      <c r="X27" s="9" t="s">
        <v>19</v>
      </c>
      <c r="Y27" s="9"/>
    </row>
    <row r="28" spans="2:25" ht="33" customHeight="1" thickBot="1" x14ac:dyDescent="0.3">
      <c r="B28" s="8" t="s">
        <v>2</v>
      </c>
      <c r="C28" s="13">
        <v>42504</v>
      </c>
      <c r="D28" s="9" t="s">
        <v>26</v>
      </c>
      <c r="E28" s="9">
        <v>10</v>
      </c>
      <c r="F28" s="9">
        <v>6000</v>
      </c>
      <c r="G28" s="9">
        <v>10</v>
      </c>
      <c r="H28" s="23">
        <v>1000</v>
      </c>
      <c r="I28" s="9">
        <v>10</v>
      </c>
      <c r="J28" s="24">
        <v>1000</v>
      </c>
      <c r="K28" s="24">
        <v>3000</v>
      </c>
      <c r="L28" s="9">
        <v>2</v>
      </c>
      <c r="M28" s="9">
        <v>10</v>
      </c>
      <c r="N28" s="9">
        <v>20</v>
      </c>
      <c r="O28" s="24">
        <v>1589.7</v>
      </c>
      <c r="P28" s="24">
        <f t="shared" si="0"/>
        <v>3179.4</v>
      </c>
      <c r="Q28" s="9">
        <v>30</v>
      </c>
      <c r="R28" s="9">
        <v>70</v>
      </c>
      <c r="S28" s="22">
        <v>1589.7</v>
      </c>
      <c r="T28" s="22">
        <f t="shared" si="1"/>
        <v>11127.9</v>
      </c>
      <c r="U28" s="9">
        <v>40</v>
      </c>
      <c r="V28" s="22">
        <v>991.35</v>
      </c>
      <c r="W28" s="22">
        <f t="shared" si="2"/>
        <v>3965.4</v>
      </c>
      <c r="X28" s="9" t="s">
        <v>19</v>
      </c>
      <c r="Y28" s="9"/>
    </row>
    <row r="29" spans="2:25" ht="43.5" customHeight="1" thickBot="1" x14ac:dyDescent="0.3">
      <c r="B29" s="8" t="s">
        <v>2</v>
      </c>
      <c r="C29" s="13">
        <v>42158</v>
      </c>
      <c r="D29" s="12" t="s">
        <v>28</v>
      </c>
      <c r="E29" s="9">
        <v>10</v>
      </c>
      <c r="F29" s="9">
        <v>6000</v>
      </c>
      <c r="G29" s="9">
        <v>10</v>
      </c>
      <c r="H29" s="23">
        <v>1000</v>
      </c>
      <c r="I29" s="9">
        <v>10</v>
      </c>
      <c r="J29" s="24">
        <v>1000</v>
      </c>
      <c r="K29" s="24">
        <v>3000</v>
      </c>
      <c r="L29" s="9">
        <v>2</v>
      </c>
      <c r="M29" s="9">
        <v>10</v>
      </c>
      <c r="N29" s="9">
        <v>20</v>
      </c>
      <c r="O29" s="24">
        <v>1589.7</v>
      </c>
      <c r="P29" s="24">
        <f t="shared" si="0"/>
        <v>3179.4</v>
      </c>
      <c r="Q29" s="9">
        <v>30</v>
      </c>
      <c r="R29" s="9">
        <v>70</v>
      </c>
      <c r="S29" s="22">
        <v>1589.7</v>
      </c>
      <c r="T29" s="22">
        <f t="shared" si="1"/>
        <v>11127.9</v>
      </c>
      <c r="U29" s="9">
        <v>40</v>
      </c>
      <c r="V29" s="22">
        <v>991.35</v>
      </c>
      <c r="W29" s="22">
        <f t="shared" si="2"/>
        <v>3965.4</v>
      </c>
      <c r="X29" s="9">
        <v>10</v>
      </c>
      <c r="Y29" s="9">
        <v>300</v>
      </c>
    </row>
    <row r="30" spans="2:25" ht="92.25" customHeight="1" thickBot="1" x14ac:dyDescent="0.3">
      <c r="B30" s="8" t="s">
        <v>2</v>
      </c>
      <c r="C30" s="14">
        <v>42170</v>
      </c>
      <c r="D30" s="12" t="s">
        <v>29</v>
      </c>
      <c r="E30" s="9">
        <v>10</v>
      </c>
      <c r="F30" s="9">
        <v>6000</v>
      </c>
      <c r="G30" s="9">
        <v>10</v>
      </c>
      <c r="H30" s="23">
        <v>1000</v>
      </c>
      <c r="I30" s="9">
        <v>10</v>
      </c>
      <c r="J30" s="24">
        <v>1000</v>
      </c>
      <c r="K30" s="24">
        <v>3000</v>
      </c>
      <c r="L30" s="9">
        <v>2</v>
      </c>
      <c r="M30" s="9">
        <v>10</v>
      </c>
      <c r="N30" s="9">
        <v>20</v>
      </c>
      <c r="O30" s="24">
        <v>1589.7</v>
      </c>
      <c r="P30" s="24">
        <f t="shared" si="0"/>
        <v>3179.4</v>
      </c>
      <c r="Q30" s="9">
        <v>30</v>
      </c>
      <c r="R30" s="9">
        <v>70</v>
      </c>
      <c r="S30" s="22">
        <v>1589.7</v>
      </c>
      <c r="T30" s="22">
        <f t="shared" si="1"/>
        <v>11127.9</v>
      </c>
      <c r="U30" s="9">
        <v>40</v>
      </c>
      <c r="V30" s="22">
        <v>991.35</v>
      </c>
      <c r="W30" s="22">
        <f t="shared" si="2"/>
        <v>3965.4</v>
      </c>
      <c r="X30" s="9">
        <v>10</v>
      </c>
      <c r="Y30" s="9">
        <v>300</v>
      </c>
    </row>
    <row r="31" spans="2:25" ht="88.5" customHeight="1" thickBot="1" x14ac:dyDescent="0.3">
      <c r="B31" s="8" t="s">
        <v>2</v>
      </c>
      <c r="C31" s="13">
        <v>42172</v>
      </c>
      <c r="D31" s="12" t="s">
        <v>29</v>
      </c>
      <c r="E31" s="9">
        <v>6</v>
      </c>
      <c r="F31" s="9">
        <v>6000</v>
      </c>
      <c r="G31" s="9">
        <v>6</v>
      </c>
      <c r="H31" s="23">
        <v>1000</v>
      </c>
      <c r="I31" s="9">
        <v>6</v>
      </c>
      <c r="J31" s="24">
        <v>1000</v>
      </c>
      <c r="K31" s="24">
        <v>3000</v>
      </c>
      <c r="L31" s="9">
        <v>2</v>
      </c>
      <c r="M31" s="9">
        <v>6</v>
      </c>
      <c r="N31" s="9">
        <v>12</v>
      </c>
      <c r="O31" s="9">
        <v>984.1</v>
      </c>
      <c r="P31" s="9">
        <f t="shared" si="0"/>
        <v>1968.2</v>
      </c>
      <c r="Q31" s="9">
        <v>18</v>
      </c>
      <c r="R31" s="9">
        <v>42</v>
      </c>
      <c r="S31" s="9">
        <v>984.1</v>
      </c>
      <c r="T31" s="9">
        <f t="shared" si="1"/>
        <v>6888.7</v>
      </c>
      <c r="U31" s="9">
        <v>24</v>
      </c>
      <c r="V31" s="9">
        <v>631.35</v>
      </c>
      <c r="W31" s="9">
        <f t="shared" si="2"/>
        <v>2525.4</v>
      </c>
      <c r="X31" s="9">
        <v>6</v>
      </c>
      <c r="Y31" s="9">
        <v>300</v>
      </c>
    </row>
    <row r="32" spans="2:25" ht="81" customHeight="1" thickBot="1" x14ac:dyDescent="0.3">
      <c r="B32" s="8" t="s">
        <v>2</v>
      </c>
      <c r="C32" s="13">
        <v>42173</v>
      </c>
      <c r="D32" s="12" t="s">
        <v>29</v>
      </c>
      <c r="E32" s="9">
        <v>3</v>
      </c>
      <c r="F32" s="9">
        <v>6000</v>
      </c>
      <c r="G32" s="9">
        <v>3</v>
      </c>
      <c r="H32" s="23">
        <v>1000</v>
      </c>
      <c r="I32" s="9">
        <v>3</v>
      </c>
      <c r="J32" s="24">
        <v>1000</v>
      </c>
      <c r="K32" s="24">
        <v>3000</v>
      </c>
      <c r="L32" s="9">
        <v>2</v>
      </c>
      <c r="M32" s="9">
        <v>3</v>
      </c>
      <c r="N32" s="9">
        <v>6</v>
      </c>
      <c r="O32" s="9">
        <v>529.9</v>
      </c>
      <c r="P32" s="9">
        <f t="shared" si="0"/>
        <v>1059.8</v>
      </c>
      <c r="Q32" s="9">
        <v>9</v>
      </c>
      <c r="R32" s="9">
        <v>21</v>
      </c>
      <c r="S32" s="9">
        <v>529.9</v>
      </c>
      <c r="T32" s="9">
        <f t="shared" si="1"/>
        <v>3709.2999999999997</v>
      </c>
      <c r="U32" s="9">
        <v>12</v>
      </c>
      <c r="V32" s="9">
        <v>361.35</v>
      </c>
      <c r="W32" s="9">
        <f t="shared" si="2"/>
        <v>1445.4</v>
      </c>
      <c r="X32" s="9">
        <v>3</v>
      </c>
      <c r="Y32" s="9">
        <v>300</v>
      </c>
    </row>
    <row r="33" spans="2:25" ht="43.5" customHeight="1" thickBot="1" x14ac:dyDescent="0.3">
      <c r="B33" s="8" t="s">
        <v>2</v>
      </c>
      <c r="C33" s="13">
        <v>42179</v>
      </c>
      <c r="D33" s="9" t="s">
        <v>31</v>
      </c>
      <c r="E33" s="9">
        <v>3</v>
      </c>
      <c r="F33" s="9">
        <v>6000</v>
      </c>
      <c r="G33" s="9">
        <v>3</v>
      </c>
      <c r="H33" s="23">
        <v>1000</v>
      </c>
      <c r="I33" s="9">
        <v>3</v>
      </c>
      <c r="J33" s="24">
        <v>1000</v>
      </c>
      <c r="K33" s="24">
        <v>3000</v>
      </c>
      <c r="L33" s="9">
        <v>2</v>
      </c>
      <c r="M33" s="9">
        <v>3</v>
      </c>
      <c r="N33" s="9">
        <v>6</v>
      </c>
      <c r="O33" s="9">
        <v>529.9</v>
      </c>
      <c r="P33" s="9">
        <f t="shared" si="0"/>
        <v>1059.8</v>
      </c>
      <c r="Q33" s="9">
        <v>9</v>
      </c>
      <c r="R33" s="9">
        <v>21</v>
      </c>
      <c r="S33" s="9">
        <v>529.9</v>
      </c>
      <c r="T33" s="9">
        <f t="shared" si="1"/>
        <v>3709.2999999999997</v>
      </c>
      <c r="U33" s="9">
        <v>12</v>
      </c>
      <c r="V33" s="9">
        <v>361.35</v>
      </c>
      <c r="W33" s="9">
        <f t="shared" si="2"/>
        <v>1445.4</v>
      </c>
      <c r="X33" s="9">
        <v>3</v>
      </c>
      <c r="Y33" s="9">
        <v>300</v>
      </c>
    </row>
    <row r="34" spans="2:25" ht="98.25" customHeight="1" thickBot="1" x14ac:dyDescent="0.3">
      <c r="B34" s="8" t="s">
        <v>2</v>
      </c>
      <c r="C34" s="13">
        <v>42298</v>
      </c>
      <c r="D34" s="12" t="s">
        <v>33</v>
      </c>
      <c r="E34" s="9">
        <v>6</v>
      </c>
      <c r="F34" s="9">
        <v>6000</v>
      </c>
      <c r="G34" s="9">
        <v>6</v>
      </c>
      <c r="H34" s="23">
        <v>1000</v>
      </c>
      <c r="I34" s="9">
        <v>6</v>
      </c>
      <c r="J34" s="24">
        <v>1000</v>
      </c>
      <c r="K34" s="24">
        <v>3000</v>
      </c>
      <c r="L34" s="9">
        <v>2</v>
      </c>
      <c r="M34" s="9">
        <v>6</v>
      </c>
      <c r="N34" s="9">
        <v>12</v>
      </c>
      <c r="O34" s="9">
        <v>984.1</v>
      </c>
      <c r="P34" s="9">
        <f t="shared" ref="P34:P35" si="3">(O34*2)</f>
        <v>1968.2</v>
      </c>
      <c r="Q34" s="9">
        <v>18</v>
      </c>
      <c r="R34" s="9">
        <v>42</v>
      </c>
      <c r="S34" s="9">
        <v>984.1</v>
      </c>
      <c r="T34" s="9">
        <f t="shared" si="1"/>
        <v>6888.7</v>
      </c>
      <c r="U34" s="9">
        <v>24</v>
      </c>
      <c r="V34" s="9">
        <v>631.35</v>
      </c>
      <c r="W34" s="9">
        <f t="shared" ref="W34:W35" si="4">(V34*4)</f>
        <v>2525.4</v>
      </c>
      <c r="X34" s="9">
        <v>6</v>
      </c>
      <c r="Y34" s="9">
        <v>300</v>
      </c>
    </row>
    <row r="35" spans="2:25" ht="93" customHeight="1" thickBot="1" x14ac:dyDescent="0.3">
      <c r="B35" s="8" t="s">
        <v>2</v>
      </c>
      <c r="C35" s="13">
        <v>42300</v>
      </c>
      <c r="D35" s="12" t="s">
        <v>33</v>
      </c>
      <c r="E35" s="9">
        <v>6.5</v>
      </c>
      <c r="F35" s="9">
        <v>6000</v>
      </c>
      <c r="G35" s="9">
        <v>6.5</v>
      </c>
      <c r="H35" s="23">
        <v>1000</v>
      </c>
      <c r="I35" s="9">
        <v>6.5</v>
      </c>
      <c r="J35" s="24">
        <v>1000</v>
      </c>
      <c r="K35" s="24">
        <v>3000</v>
      </c>
      <c r="L35" s="9">
        <v>2</v>
      </c>
      <c r="M35" s="9">
        <v>6.5</v>
      </c>
      <c r="N35" s="9">
        <v>13</v>
      </c>
      <c r="O35" s="9">
        <v>1059.8</v>
      </c>
      <c r="P35" s="9">
        <f t="shared" si="3"/>
        <v>2119.6</v>
      </c>
      <c r="Q35" s="9">
        <v>19.5</v>
      </c>
      <c r="R35" s="9">
        <v>45.5</v>
      </c>
      <c r="S35" s="9">
        <v>1059.8</v>
      </c>
      <c r="T35" s="9">
        <f t="shared" si="1"/>
        <v>7418.5999999999995</v>
      </c>
      <c r="U35" s="9">
        <v>26</v>
      </c>
      <c r="V35" s="9">
        <v>676.35</v>
      </c>
      <c r="W35" s="9">
        <f t="shared" si="4"/>
        <v>2705.4</v>
      </c>
      <c r="X35" s="9">
        <v>6.5</v>
      </c>
      <c r="Y35" s="9">
        <v>300</v>
      </c>
    </row>
    <row r="36" spans="2:25" ht="66" customHeight="1" thickBot="1" x14ac:dyDescent="0.3">
      <c r="B36" s="8" t="s">
        <v>2</v>
      </c>
      <c r="C36" s="13">
        <v>42266</v>
      </c>
      <c r="D36" s="12" t="s">
        <v>32</v>
      </c>
      <c r="E36" s="9">
        <v>3</v>
      </c>
      <c r="F36" s="9">
        <v>6000</v>
      </c>
      <c r="G36" s="9">
        <v>3</v>
      </c>
      <c r="H36" s="23">
        <v>1000</v>
      </c>
      <c r="I36" s="9">
        <v>3</v>
      </c>
      <c r="J36" s="24">
        <v>1000</v>
      </c>
      <c r="K36" s="24">
        <v>3000</v>
      </c>
      <c r="L36" s="9">
        <v>2</v>
      </c>
      <c r="M36" s="9">
        <v>3</v>
      </c>
      <c r="N36" s="9">
        <v>6</v>
      </c>
      <c r="O36" s="9">
        <v>529.9</v>
      </c>
      <c r="P36" s="9">
        <f t="shared" ref="P36:P42" si="5">(O36*2)</f>
        <v>1059.8</v>
      </c>
      <c r="Q36" s="9">
        <v>9</v>
      </c>
      <c r="R36" s="9">
        <v>21</v>
      </c>
      <c r="S36" s="9">
        <v>529.9</v>
      </c>
      <c r="T36" s="9">
        <f t="shared" si="1"/>
        <v>3709.2999999999997</v>
      </c>
      <c r="U36" s="9">
        <v>12</v>
      </c>
      <c r="V36" s="9">
        <v>361.35</v>
      </c>
      <c r="W36" s="9">
        <f t="shared" ref="W36:W38" si="6">(V36*4)</f>
        <v>1445.4</v>
      </c>
      <c r="X36" s="9">
        <v>3</v>
      </c>
      <c r="Y36" s="9">
        <v>300</v>
      </c>
    </row>
    <row r="37" spans="2:25" ht="67.5" customHeight="1" thickBot="1" x14ac:dyDescent="0.3">
      <c r="B37" s="8" t="s">
        <v>2</v>
      </c>
      <c r="C37" s="13">
        <v>42316</v>
      </c>
      <c r="D37" s="12" t="s">
        <v>35</v>
      </c>
      <c r="E37" s="9">
        <v>4</v>
      </c>
      <c r="F37" s="9">
        <v>6000</v>
      </c>
      <c r="G37" s="9">
        <v>4</v>
      </c>
      <c r="H37" s="23">
        <v>1000</v>
      </c>
      <c r="I37" s="9"/>
      <c r="J37" s="24"/>
      <c r="K37" s="24"/>
      <c r="L37" s="9">
        <v>2</v>
      </c>
      <c r="M37" s="9">
        <v>4</v>
      </c>
      <c r="N37" s="9">
        <v>8</v>
      </c>
      <c r="O37" s="24">
        <v>681.3</v>
      </c>
      <c r="P37" s="9">
        <f t="shared" si="5"/>
        <v>1362.6</v>
      </c>
      <c r="Q37" s="9">
        <v>12</v>
      </c>
      <c r="R37" s="9">
        <v>28</v>
      </c>
      <c r="S37" s="9">
        <v>681.3</v>
      </c>
      <c r="T37" s="9">
        <f t="shared" si="1"/>
        <v>4769.0999999999995</v>
      </c>
      <c r="U37" s="9">
        <v>16</v>
      </c>
      <c r="V37" s="9">
        <v>451.35</v>
      </c>
      <c r="W37" s="9">
        <f t="shared" si="6"/>
        <v>1805.4</v>
      </c>
      <c r="X37" s="9">
        <v>4</v>
      </c>
      <c r="Y37" s="9">
        <v>300</v>
      </c>
    </row>
    <row r="38" spans="2:25" ht="50.25" customHeight="1" thickBot="1" x14ac:dyDescent="0.3">
      <c r="B38" s="8" t="s">
        <v>2</v>
      </c>
      <c r="C38" s="13">
        <v>42329</v>
      </c>
      <c r="D38" s="12" t="s">
        <v>36</v>
      </c>
      <c r="E38" s="9">
        <v>10.5</v>
      </c>
      <c r="F38" s="9">
        <v>6000</v>
      </c>
      <c r="G38" s="9">
        <v>10.5</v>
      </c>
      <c r="H38" s="23">
        <v>1000</v>
      </c>
      <c r="I38" s="9">
        <v>10.5</v>
      </c>
      <c r="J38" s="24">
        <v>1000</v>
      </c>
      <c r="K38" s="24">
        <v>3000</v>
      </c>
      <c r="L38" s="9">
        <v>2</v>
      </c>
      <c r="M38" s="9">
        <v>10.5</v>
      </c>
      <c r="N38" s="9">
        <v>21</v>
      </c>
      <c r="O38" s="24">
        <v>1665.4</v>
      </c>
      <c r="P38" s="24">
        <f t="shared" si="5"/>
        <v>3330.8</v>
      </c>
      <c r="Q38" s="9">
        <v>31.5</v>
      </c>
      <c r="R38" s="9">
        <v>73.5</v>
      </c>
      <c r="S38" s="9">
        <v>1665.4</v>
      </c>
      <c r="T38" s="9">
        <f t="shared" si="1"/>
        <v>11657.800000000001</v>
      </c>
      <c r="U38" s="9">
        <v>42</v>
      </c>
      <c r="V38" s="9">
        <v>1036.3499999999999</v>
      </c>
      <c r="W38" s="9">
        <f t="shared" si="6"/>
        <v>4145.3999999999996</v>
      </c>
      <c r="X38" s="9">
        <v>10.5</v>
      </c>
      <c r="Y38" s="9">
        <v>300</v>
      </c>
    </row>
    <row r="39" spans="2:25" ht="50.25" customHeight="1" thickBot="1" x14ac:dyDescent="0.3">
      <c r="B39" s="8" t="s">
        <v>2</v>
      </c>
      <c r="C39" s="13">
        <v>42388</v>
      </c>
      <c r="D39" s="12" t="s">
        <v>39</v>
      </c>
      <c r="E39" s="9">
        <v>9</v>
      </c>
      <c r="F39" s="9">
        <v>6000</v>
      </c>
      <c r="G39" s="9">
        <v>9</v>
      </c>
      <c r="H39" s="23">
        <v>1000</v>
      </c>
      <c r="I39" s="9" t="s">
        <v>19</v>
      </c>
      <c r="J39" s="9"/>
      <c r="K39" s="9"/>
      <c r="L39" s="9">
        <v>2</v>
      </c>
      <c r="M39" s="9">
        <v>22.5</v>
      </c>
      <c r="N39" s="9">
        <v>45</v>
      </c>
      <c r="O39" s="9">
        <v>3557.9</v>
      </c>
      <c r="P39" s="9">
        <f t="shared" si="5"/>
        <v>7115.8</v>
      </c>
      <c r="Q39" s="9" t="s">
        <v>19</v>
      </c>
      <c r="R39" s="9" t="s">
        <v>19</v>
      </c>
      <c r="S39" s="9"/>
      <c r="T39" s="9"/>
      <c r="U39" s="12" t="s">
        <v>40</v>
      </c>
      <c r="V39" s="12">
        <v>901.35</v>
      </c>
      <c r="W39" s="12">
        <f>(V39*2)</f>
        <v>1802.7</v>
      </c>
      <c r="X39" s="9">
        <v>9</v>
      </c>
      <c r="Y39" s="9">
        <v>300</v>
      </c>
    </row>
    <row r="40" spans="2:25" ht="50.25" customHeight="1" thickBot="1" x14ac:dyDescent="0.3">
      <c r="B40" s="8" t="s">
        <v>2</v>
      </c>
      <c r="C40" s="13">
        <v>42389</v>
      </c>
      <c r="D40" s="12" t="s">
        <v>39</v>
      </c>
      <c r="E40" s="9">
        <v>9</v>
      </c>
      <c r="F40" s="9">
        <v>6000</v>
      </c>
      <c r="G40" s="9">
        <v>9</v>
      </c>
      <c r="H40" s="23">
        <v>1000</v>
      </c>
      <c r="I40" s="9" t="s">
        <v>19</v>
      </c>
      <c r="J40" s="9"/>
      <c r="K40" s="9"/>
      <c r="L40" s="9">
        <v>2</v>
      </c>
      <c r="M40" s="9">
        <v>22.5</v>
      </c>
      <c r="N40" s="9">
        <v>45</v>
      </c>
      <c r="O40" s="9">
        <v>3557.9</v>
      </c>
      <c r="P40" s="9">
        <f t="shared" si="5"/>
        <v>7115.8</v>
      </c>
      <c r="Q40" s="9" t="s">
        <v>19</v>
      </c>
      <c r="R40" s="9" t="s">
        <v>19</v>
      </c>
      <c r="S40" s="9"/>
      <c r="T40" s="9"/>
      <c r="U40" s="12" t="s">
        <v>40</v>
      </c>
      <c r="V40" s="12">
        <v>901.35</v>
      </c>
      <c r="W40" s="12">
        <f>(V40*2)</f>
        <v>1802.7</v>
      </c>
      <c r="X40" s="9">
        <v>9</v>
      </c>
      <c r="Y40" s="9">
        <v>300</v>
      </c>
    </row>
    <row r="41" spans="2:25" ht="90" customHeight="1" thickBot="1" x14ac:dyDescent="0.3">
      <c r="B41" s="8" t="s">
        <v>2</v>
      </c>
      <c r="C41" s="13">
        <v>42410</v>
      </c>
      <c r="D41" s="12" t="s">
        <v>41</v>
      </c>
      <c r="E41" s="9">
        <v>10</v>
      </c>
      <c r="F41" s="9">
        <v>6000</v>
      </c>
      <c r="G41" s="9">
        <v>10</v>
      </c>
      <c r="H41" s="23">
        <v>1000</v>
      </c>
      <c r="I41" s="9" t="s">
        <v>19</v>
      </c>
      <c r="J41" s="9"/>
      <c r="K41" s="9"/>
      <c r="L41" s="9">
        <v>2</v>
      </c>
      <c r="M41" s="9">
        <v>25</v>
      </c>
      <c r="N41" s="9">
        <v>50</v>
      </c>
      <c r="O41" s="9">
        <v>4012.1</v>
      </c>
      <c r="P41" s="9">
        <f t="shared" si="5"/>
        <v>8024.2</v>
      </c>
      <c r="Q41" s="9" t="s">
        <v>19</v>
      </c>
      <c r="R41" s="9" t="s">
        <v>19</v>
      </c>
      <c r="S41" s="9"/>
      <c r="T41" s="9"/>
      <c r="U41" s="9" t="s">
        <v>42</v>
      </c>
      <c r="V41" s="9">
        <v>991.35</v>
      </c>
      <c r="W41" s="12">
        <f>(V41*2)</f>
        <v>1982.7</v>
      </c>
      <c r="X41" s="9">
        <v>10</v>
      </c>
      <c r="Y41" s="9">
        <v>300</v>
      </c>
    </row>
    <row r="42" spans="2:25" ht="74.25" customHeight="1" thickBot="1" x14ac:dyDescent="0.3">
      <c r="B42" s="8" t="s">
        <v>2</v>
      </c>
      <c r="C42" s="13">
        <v>42411</v>
      </c>
      <c r="D42" s="12" t="s">
        <v>41</v>
      </c>
      <c r="E42" s="9">
        <v>9.5</v>
      </c>
      <c r="F42" s="9">
        <v>6000</v>
      </c>
      <c r="G42" s="9">
        <v>9.5</v>
      </c>
      <c r="H42" s="23">
        <v>1000</v>
      </c>
      <c r="I42" s="9" t="s">
        <v>19</v>
      </c>
      <c r="J42" s="9"/>
      <c r="K42" s="9"/>
      <c r="L42" s="9">
        <v>2</v>
      </c>
      <c r="M42" s="9">
        <v>23.75</v>
      </c>
      <c r="N42" s="9">
        <v>47.5</v>
      </c>
      <c r="O42" s="9">
        <v>3747.15</v>
      </c>
      <c r="P42" s="9">
        <f t="shared" si="5"/>
        <v>7494.3</v>
      </c>
      <c r="Q42" s="9" t="s">
        <v>19</v>
      </c>
      <c r="R42" s="9" t="s">
        <v>19</v>
      </c>
      <c r="S42" s="9"/>
      <c r="T42" s="9"/>
      <c r="U42" s="9" t="s">
        <v>43</v>
      </c>
      <c r="V42" s="9">
        <v>946.35</v>
      </c>
      <c r="W42" s="12">
        <f>(V42*2)</f>
        <v>1892.7</v>
      </c>
      <c r="X42" s="9">
        <v>9.5</v>
      </c>
      <c r="Y42" s="9">
        <v>300</v>
      </c>
    </row>
    <row r="43" spans="2:25" ht="12.75" customHeight="1" thickBot="1" x14ac:dyDescent="0.3"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2:25" ht="75.75" customHeight="1" thickBot="1" x14ac:dyDescent="0.3">
      <c r="B44" s="8" t="s">
        <v>3</v>
      </c>
      <c r="C44" s="14">
        <v>42297</v>
      </c>
      <c r="D44" s="12" t="s">
        <v>34</v>
      </c>
      <c r="E44" s="9">
        <v>9.5</v>
      </c>
      <c r="F44" s="9">
        <v>6000</v>
      </c>
      <c r="G44" s="9">
        <v>9.5</v>
      </c>
      <c r="H44" s="23">
        <v>1000</v>
      </c>
      <c r="I44" s="9">
        <v>9.5</v>
      </c>
      <c r="J44" s="9">
        <v>1000</v>
      </c>
      <c r="K44" s="24">
        <v>3000</v>
      </c>
      <c r="L44" s="9">
        <v>2</v>
      </c>
      <c r="M44" s="9">
        <v>9.5</v>
      </c>
      <c r="N44" s="9">
        <v>19</v>
      </c>
      <c r="O44" s="9">
        <v>1514</v>
      </c>
      <c r="P44" s="9">
        <f>(O44*2)</f>
        <v>3028</v>
      </c>
      <c r="Q44" s="9">
        <v>28.5</v>
      </c>
      <c r="R44" s="9">
        <v>66.5</v>
      </c>
      <c r="S44" s="9">
        <v>1514</v>
      </c>
      <c r="T44" s="9">
        <f>(S44*2)</f>
        <v>3028</v>
      </c>
      <c r="U44" s="9">
        <v>38</v>
      </c>
      <c r="V44" s="9">
        <v>946.35</v>
      </c>
      <c r="W44" s="9">
        <f>(V44*4)</f>
        <v>3785.4</v>
      </c>
      <c r="X44" s="9">
        <v>9.5</v>
      </c>
      <c r="Y44" s="9">
        <v>300</v>
      </c>
    </row>
    <row r="45" spans="2:25" ht="76.5" customHeight="1" thickBot="1" x14ac:dyDescent="0.3">
      <c r="B45" s="8" t="s">
        <v>3</v>
      </c>
      <c r="C45" s="13">
        <v>42299</v>
      </c>
      <c r="D45" s="12" t="s">
        <v>34</v>
      </c>
      <c r="E45" s="9">
        <v>8.5</v>
      </c>
      <c r="F45" s="9">
        <v>6000</v>
      </c>
      <c r="G45" s="9">
        <v>8.5</v>
      </c>
      <c r="H45" s="23">
        <v>1000</v>
      </c>
      <c r="I45" s="9">
        <v>8.5</v>
      </c>
      <c r="J45" s="9">
        <v>1000</v>
      </c>
      <c r="K45" s="24">
        <v>3000</v>
      </c>
      <c r="L45" s="9">
        <v>2</v>
      </c>
      <c r="M45" s="9">
        <v>8.5</v>
      </c>
      <c r="N45" s="9">
        <v>17</v>
      </c>
      <c r="O45" s="9">
        <v>1362.6</v>
      </c>
      <c r="P45" s="9">
        <f t="shared" ref="P45:P50" si="7">(O45*2)</f>
        <v>2725.2</v>
      </c>
      <c r="Q45" s="9">
        <v>25.5</v>
      </c>
      <c r="R45" s="9">
        <v>59.5</v>
      </c>
      <c r="S45" s="9">
        <v>1362.6</v>
      </c>
      <c r="T45" s="9">
        <f t="shared" ref="T45:T47" si="8">(S45*2)</f>
        <v>2725.2</v>
      </c>
      <c r="U45" s="9">
        <v>34</v>
      </c>
      <c r="V45" s="9">
        <v>856.35</v>
      </c>
      <c r="W45" s="9">
        <f>(V45*4)</f>
        <v>3425.4</v>
      </c>
      <c r="X45" s="9">
        <v>8.5</v>
      </c>
      <c r="Y45" s="9">
        <v>300</v>
      </c>
    </row>
    <row r="46" spans="2:25" ht="31.5" customHeight="1" thickBot="1" x14ac:dyDescent="0.3">
      <c r="B46" s="8" t="s">
        <v>3</v>
      </c>
      <c r="C46" s="14">
        <v>42316</v>
      </c>
      <c r="D46" s="9" t="s">
        <v>37</v>
      </c>
      <c r="E46" s="9">
        <v>4</v>
      </c>
      <c r="F46" s="9">
        <v>6000</v>
      </c>
      <c r="G46" s="9">
        <v>4</v>
      </c>
      <c r="H46" s="23">
        <v>1000</v>
      </c>
      <c r="I46" s="9">
        <v>4</v>
      </c>
      <c r="J46" s="9">
        <v>1000</v>
      </c>
      <c r="K46" s="24">
        <v>3000</v>
      </c>
      <c r="L46" s="9">
        <v>2</v>
      </c>
      <c r="M46" s="9">
        <v>4</v>
      </c>
      <c r="N46" s="9">
        <v>8</v>
      </c>
      <c r="O46" s="24">
        <v>681.3</v>
      </c>
      <c r="P46" s="9">
        <f t="shared" si="7"/>
        <v>1362.6</v>
      </c>
      <c r="Q46" s="9">
        <v>12</v>
      </c>
      <c r="R46" s="9">
        <v>28</v>
      </c>
      <c r="S46" s="9">
        <v>681.3</v>
      </c>
      <c r="T46" s="9">
        <f t="shared" si="8"/>
        <v>1362.6</v>
      </c>
      <c r="U46" s="9">
        <v>16</v>
      </c>
      <c r="V46" s="9">
        <v>451.35</v>
      </c>
      <c r="W46" s="9">
        <f t="shared" ref="W46:W47" si="9">(V46*4)</f>
        <v>1805.4</v>
      </c>
      <c r="X46" s="9">
        <v>4</v>
      </c>
      <c r="Y46" s="9">
        <v>300</v>
      </c>
    </row>
    <row r="47" spans="2:25" ht="61.5" customHeight="1" thickBot="1" x14ac:dyDescent="0.3">
      <c r="B47" s="8" t="s">
        <v>3</v>
      </c>
      <c r="C47" s="13">
        <v>42696</v>
      </c>
      <c r="D47" s="12" t="s">
        <v>38</v>
      </c>
      <c r="E47" s="9">
        <v>10.5</v>
      </c>
      <c r="F47" s="9">
        <v>6000</v>
      </c>
      <c r="G47" s="9">
        <v>10.5</v>
      </c>
      <c r="H47" s="23">
        <v>1000</v>
      </c>
      <c r="I47" s="9">
        <v>10.5</v>
      </c>
      <c r="J47" s="9">
        <v>1000</v>
      </c>
      <c r="K47" s="24">
        <v>3000</v>
      </c>
      <c r="L47" s="9">
        <v>2</v>
      </c>
      <c r="M47" s="9">
        <v>10.5</v>
      </c>
      <c r="N47" s="9">
        <v>21</v>
      </c>
      <c r="O47" s="24">
        <v>1665.4</v>
      </c>
      <c r="P47" s="9">
        <f t="shared" si="7"/>
        <v>3330.8</v>
      </c>
      <c r="Q47" s="9">
        <v>31.5</v>
      </c>
      <c r="R47" s="9">
        <v>73.5</v>
      </c>
      <c r="S47" s="9">
        <v>1665.4</v>
      </c>
      <c r="T47" s="9">
        <f t="shared" si="8"/>
        <v>3330.8</v>
      </c>
      <c r="U47" s="9">
        <v>42</v>
      </c>
      <c r="V47" s="9">
        <v>1036.3499999999999</v>
      </c>
      <c r="W47" s="9">
        <f t="shared" si="9"/>
        <v>4145.3999999999996</v>
      </c>
      <c r="X47" s="9" t="s">
        <v>19</v>
      </c>
      <c r="Y47" s="9"/>
    </row>
    <row r="48" spans="2:25" ht="63.75" customHeight="1" thickBot="1" x14ac:dyDescent="0.3">
      <c r="B48" s="8" t="s">
        <v>3</v>
      </c>
      <c r="C48" s="14">
        <v>42408</v>
      </c>
      <c r="D48" s="12" t="s">
        <v>44</v>
      </c>
      <c r="E48" s="9">
        <v>10</v>
      </c>
      <c r="F48" s="9">
        <v>6000</v>
      </c>
      <c r="G48" s="9">
        <v>10</v>
      </c>
      <c r="H48" s="23">
        <v>1000</v>
      </c>
      <c r="I48" s="9" t="s">
        <v>19</v>
      </c>
      <c r="J48" s="9"/>
      <c r="K48" s="9"/>
      <c r="L48" s="9">
        <v>2</v>
      </c>
      <c r="M48" s="9">
        <v>20</v>
      </c>
      <c r="N48" s="9">
        <v>40</v>
      </c>
      <c r="O48" s="9">
        <v>3179.4</v>
      </c>
      <c r="P48" s="9">
        <f t="shared" si="7"/>
        <v>6358.8</v>
      </c>
      <c r="Q48" s="9" t="s">
        <v>19</v>
      </c>
      <c r="R48" s="9" t="s">
        <v>19</v>
      </c>
      <c r="S48" s="9"/>
      <c r="T48" s="9"/>
      <c r="U48" s="9" t="s">
        <v>42</v>
      </c>
      <c r="V48" s="9">
        <v>991.35</v>
      </c>
      <c r="W48" s="12">
        <f>(V48*2)</f>
        <v>1982.7</v>
      </c>
      <c r="X48" s="9" t="s">
        <v>19</v>
      </c>
      <c r="Y48" s="9"/>
    </row>
    <row r="49" spans="1:152" ht="61.5" customHeight="1" thickBot="1" x14ac:dyDescent="0.3">
      <c r="B49" s="8" t="s">
        <v>3</v>
      </c>
      <c r="C49" s="13">
        <v>42409</v>
      </c>
      <c r="D49" s="12" t="s">
        <v>44</v>
      </c>
      <c r="E49" s="9">
        <v>10.5</v>
      </c>
      <c r="F49" s="9">
        <v>6000</v>
      </c>
      <c r="G49" s="9">
        <v>10.5</v>
      </c>
      <c r="H49" s="23">
        <v>1000</v>
      </c>
      <c r="I49" s="9" t="s">
        <v>19</v>
      </c>
      <c r="J49" s="9"/>
      <c r="K49" s="9"/>
      <c r="L49" s="9">
        <v>2</v>
      </c>
      <c r="M49" s="9">
        <v>20.75</v>
      </c>
      <c r="N49" s="9">
        <v>41.5</v>
      </c>
      <c r="O49" s="9">
        <v>3292.95</v>
      </c>
      <c r="P49" s="9">
        <f t="shared" si="7"/>
        <v>6585.9</v>
      </c>
      <c r="Q49" s="9" t="s">
        <v>19</v>
      </c>
      <c r="R49" s="9" t="s">
        <v>19</v>
      </c>
      <c r="S49" s="9"/>
      <c r="T49" s="9"/>
      <c r="U49" s="9" t="s">
        <v>45</v>
      </c>
      <c r="V49" s="9">
        <v>1036.3499999999999</v>
      </c>
      <c r="W49" s="9">
        <f>(V49*2)</f>
        <v>2072.6999999999998</v>
      </c>
      <c r="X49" s="9" t="s">
        <v>19</v>
      </c>
      <c r="Y49" s="9"/>
    </row>
    <row r="50" spans="1:152" ht="63" customHeight="1" thickBot="1" x14ac:dyDescent="0.3">
      <c r="B50" s="8" t="s">
        <v>3</v>
      </c>
      <c r="C50" s="14">
        <v>42459</v>
      </c>
      <c r="D50" s="12" t="s">
        <v>46</v>
      </c>
      <c r="E50" s="9">
        <v>2</v>
      </c>
      <c r="F50" s="9">
        <v>6000</v>
      </c>
      <c r="G50" s="9">
        <v>2</v>
      </c>
      <c r="H50" s="23">
        <v>1000</v>
      </c>
      <c r="I50" s="9" t="s">
        <v>19</v>
      </c>
      <c r="J50" s="9"/>
      <c r="K50" s="9"/>
      <c r="L50" s="9">
        <v>2</v>
      </c>
      <c r="M50" s="9">
        <v>2</v>
      </c>
      <c r="N50" s="9">
        <v>4</v>
      </c>
      <c r="O50" s="9">
        <v>378.5</v>
      </c>
      <c r="P50" s="9">
        <f t="shared" si="7"/>
        <v>757</v>
      </c>
      <c r="Q50" s="9" t="s">
        <v>19</v>
      </c>
      <c r="R50" s="9" t="s">
        <v>19</v>
      </c>
      <c r="S50" s="9"/>
      <c r="T50" s="9"/>
      <c r="U50" s="9">
        <v>2</v>
      </c>
      <c r="V50" s="9">
        <v>271.35000000000002</v>
      </c>
      <c r="W50" s="9">
        <f>(V50*2)</f>
        <v>542.70000000000005</v>
      </c>
      <c r="X50" s="9" t="s">
        <v>19</v>
      </c>
      <c r="Y50" s="9"/>
    </row>
    <row r="51" spans="1:152" s="10" customFormat="1" ht="12" customHeight="1" thickBot="1" x14ac:dyDescent="0.3">
      <c r="A51" s="11"/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</row>
    <row r="52" spans="1:152" ht="62.25" customHeight="1" thickBot="1" x14ac:dyDescent="0.3">
      <c r="B52" s="8" t="s">
        <v>4</v>
      </c>
      <c r="C52" s="13">
        <v>42405</v>
      </c>
      <c r="D52" s="12" t="s">
        <v>47</v>
      </c>
      <c r="E52" s="9">
        <v>6</v>
      </c>
      <c r="F52" s="9">
        <v>6000</v>
      </c>
      <c r="G52" s="9">
        <v>6</v>
      </c>
      <c r="H52" s="23">
        <v>1000</v>
      </c>
      <c r="I52" s="9" t="s">
        <v>19</v>
      </c>
      <c r="J52" s="9"/>
      <c r="K52" s="9"/>
      <c r="L52" s="9">
        <v>2</v>
      </c>
      <c r="M52" s="9">
        <v>12</v>
      </c>
      <c r="N52" s="9">
        <v>24</v>
      </c>
      <c r="O52" s="9">
        <v>1892.5</v>
      </c>
      <c r="P52" s="9">
        <f>(O52*2)</f>
        <v>3785</v>
      </c>
      <c r="Q52" s="9" t="s">
        <v>19</v>
      </c>
      <c r="R52" s="9" t="s">
        <v>19</v>
      </c>
      <c r="S52" s="9"/>
      <c r="T52" s="9"/>
      <c r="U52" s="9" t="s">
        <v>48</v>
      </c>
      <c r="V52" s="9"/>
      <c r="W52" s="9"/>
      <c r="X52" s="9" t="s">
        <v>19</v>
      </c>
      <c r="Y52" s="9"/>
    </row>
    <row r="53" spans="1:152" ht="76.5" customHeight="1" thickBot="1" x14ac:dyDescent="0.3">
      <c r="B53" s="8" t="s">
        <v>4</v>
      </c>
      <c r="C53" s="13">
        <v>42458</v>
      </c>
      <c r="D53" s="12" t="s">
        <v>49</v>
      </c>
      <c r="E53" s="9">
        <v>7</v>
      </c>
      <c r="F53" s="9">
        <v>6000</v>
      </c>
      <c r="G53" s="9">
        <v>7</v>
      </c>
      <c r="H53" s="23">
        <v>1000</v>
      </c>
      <c r="I53" s="9" t="s">
        <v>19</v>
      </c>
      <c r="J53" s="9"/>
      <c r="K53" s="9"/>
      <c r="L53" s="9">
        <v>2</v>
      </c>
      <c r="M53" s="9">
        <v>14</v>
      </c>
      <c r="N53" s="9">
        <v>28</v>
      </c>
      <c r="O53" s="9">
        <v>2195.3000000000002</v>
      </c>
      <c r="P53" s="9">
        <f t="shared" ref="P53:P54" si="10">(O53*2)</f>
        <v>4390.6000000000004</v>
      </c>
      <c r="Q53" s="9" t="s">
        <v>19</v>
      </c>
      <c r="R53" s="9" t="s">
        <v>19</v>
      </c>
      <c r="S53" s="9"/>
      <c r="T53" s="9"/>
      <c r="U53" s="9" t="s">
        <v>50</v>
      </c>
      <c r="V53" s="9"/>
      <c r="W53" s="9"/>
      <c r="X53" s="9">
        <v>7</v>
      </c>
      <c r="Y53" s="9">
        <v>300</v>
      </c>
    </row>
    <row r="54" spans="1:152" ht="63.75" customHeight="1" thickBot="1" x14ac:dyDescent="0.3">
      <c r="B54" s="8" t="s">
        <v>4</v>
      </c>
      <c r="C54" s="13">
        <v>42460</v>
      </c>
      <c r="D54" s="12" t="s">
        <v>49</v>
      </c>
      <c r="E54" s="31">
        <v>7</v>
      </c>
      <c r="F54" s="31">
        <v>6000</v>
      </c>
      <c r="G54" s="9">
        <v>7</v>
      </c>
      <c r="H54" s="32">
        <v>1000</v>
      </c>
      <c r="I54" s="9" t="s">
        <v>19</v>
      </c>
      <c r="J54" s="9"/>
      <c r="K54" s="31"/>
      <c r="L54" s="9">
        <v>2</v>
      </c>
      <c r="M54" s="9">
        <v>14</v>
      </c>
      <c r="N54" s="9">
        <v>28</v>
      </c>
      <c r="O54" s="9">
        <v>2195.3000000000002</v>
      </c>
      <c r="P54" s="31">
        <f t="shared" si="10"/>
        <v>4390.6000000000004</v>
      </c>
      <c r="Q54" s="9" t="s">
        <v>19</v>
      </c>
      <c r="R54" s="9" t="s">
        <v>19</v>
      </c>
      <c r="S54" s="9"/>
      <c r="T54" s="31"/>
      <c r="U54" s="9" t="s">
        <v>50</v>
      </c>
      <c r="V54" s="9"/>
      <c r="W54" s="31"/>
      <c r="X54" s="9">
        <v>7</v>
      </c>
      <c r="Y54" s="31">
        <v>300</v>
      </c>
    </row>
    <row r="55" spans="1:152" ht="27" thickBot="1" x14ac:dyDescent="0.45">
      <c r="E55" s="33" t="s">
        <v>72</v>
      </c>
      <c r="F55" s="33">
        <f>SUM(F18:F54)</f>
        <v>204000</v>
      </c>
      <c r="G55" s="34"/>
      <c r="H55" s="33">
        <f>SUM(H18:H54)</f>
        <v>34000</v>
      </c>
      <c r="I55" s="34"/>
      <c r="J55" s="34"/>
      <c r="K55" s="33">
        <f>SUM(K18:K54)</f>
        <v>69000</v>
      </c>
      <c r="L55" s="34"/>
      <c r="M55" s="34"/>
      <c r="N55" s="34"/>
      <c r="O55" s="34"/>
      <c r="P55" s="33">
        <f>SUM(P18:P54)</f>
        <v>115215.40000000002</v>
      </c>
      <c r="Q55" s="34"/>
      <c r="R55" s="34"/>
      <c r="S55" s="34"/>
      <c r="T55" s="33">
        <f>SUM(T18:T54)</f>
        <v>181074.39999999997</v>
      </c>
      <c r="U55" s="34"/>
      <c r="V55" s="34"/>
      <c r="W55" s="33">
        <f>SUM(W18:W54)</f>
        <v>87628.499999999985</v>
      </c>
      <c r="X55" s="34"/>
      <c r="Y55" s="33">
        <f>SUM(Y18:Y54)</f>
        <v>5700</v>
      </c>
    </row>
  </sheetData>
  <mergeCells count="8">
    <mergeCell ref="X15:Y16"/>
    <mergeCell ref="B15:B17"/>
    <mergeCell ref="D15:D17"/>
    <mergeCell ref="C15:C17"/>
    <mergeCell ref="E15:F16"/>
    <mergeCell ref="G15:H16"/>
    <mergeCell ref="I15:K16"/>
    <mergeCell ref="L15:W16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G36"/>
  <sheetViews>
    <sheetView tabSelected="1" topLeftCell="A13" workbookViewId="0">
      <pane ySplit="6" topLeftCell="A31" activePane="bottomLeft" state="frozen"/>
      <selection activeCell="A13" sqref="A13"/>
      <selection pane="bottomLeft" activeCell="A32" sqref="A32"/>
    </sheetView>
  </sheetViews>
  <sheetFormatPr baseColWidth="10" defaultRowHeight="15" x14ac:dyDescent="0.25"/>
  <cols>
    <col min="1" max="1" width="22.5703125" customWidth="1"/>
    <col min="2" max="2" width="18.28515625" customWidth="1"/>
    <col min="3" max="4" width="18.85546875" customWidth="1"/>
    <col min="5" max="5" width="30.28515625" customWidth="1"/>
    <col min="6" max="7" width="27.5703125" customWidth="1"/>
    <col min="8" max="9" width="23.7109375" customWidth="1"/>
    <col min="10" max="10" width="27.140625" customWidth="1"/>
    <col min="11" max="11" width="30" customWidth="1"/>
    <col min="12" max="12" width="34.7109375" customWidth="1"/>
    <col min="13" max="13" width="37.28515625" customWidth="1"/>
    <col min="14" max="14" width="34.5703125" customWidth="1"/>
    <col min="15" max="15" width="15.85546875" customWidth="1"/>
    <col min="16" max="16" width="21.28515625" customWidth="1"/>
    <col min="18" max="18" width="20.7109375" customWidth="1"/>
    <col min="19" max="19" width="21.7109375" customWidth="1"/>
    <col min="20" max="20" width="20.5703125" customWidth="1"/>
    <col min="21" max="21" width="27.85546875" customWidth="1"/>
    <col min="22" max="22" width="23.140625" customWidth="1"/>
    <col min="23" max="23" width="20.42578125" customWidth="1"/>
    <col min="24" max="24" width="19.5703125" customWidth="1"/>
    <col min="25" max="25" width="20.85546875" customWidth="1"/>
    <col min="26" max="31" width="22.85546875" customWidth="1"/>
    <col min="32" max="32" width="24.7109375" customWidth="1"/>
    <col min="33" max="33" width="30.140625" customWidth="1"/>
  </cols>
  <sheetData>
    <row r="3" spans="1:33" ht="18.75" x14ac:dyDescent="0.3">
      <c r="A3" s="1" t="s">
        <v>10</v>
      </c>
      <c r="B3" s="1"/>
      <c r="C3" s="1"/>
      <c r="D3" s="1"/>
      <c r="E3" s="1"/>
      <c r="F3" s="1"/>
      <c r="G3" s="1"/>
    </row>
    <row r="4" spans="1:33" ht="19.5" thickBot="1" x14ac:dyDescent="0.35">
      <c r="A4" s="1"/>
      <c r="B4" s="1"/>
      <c r="C4" s="1"/>
      <c r="D4" s="1"/>
      <c r="E4" s="1"/>
      <c r="F4" s="1"/>
      <c r="G4" s="1"/>
    </row>
    <row r="5" spans="1:33" ht="19.5" thickBot="1" x14ac:dyDescent="0.35">
      <c r="A5" s="7" t="s">
        <v>17</v>
      </c>
      <c r="B5" s="3"/>
      <c r="C5" s="1"/>
      <c r="D5" s="1"/>
      <c r="E5" s="1"/>
      <c r="F5" s="1"/>
      <c r="G5" s="1"/>
    </row>
    <row r="6" spans="1:33" ht="19.5" thickBot="1" x14ac:dyDescent="0.35">
      <c r="A6" s="7" t="s">
        <v>11</v>
      </c>
      <c r="B6" s="4"/>
      <c r="C6" s="1"/>
      <c r="D6" s="1"/>
      <c r="E6" s="1"/>
      <c r="F6" s="1"/>
      <c r="G6" s="1"/>
    </row>
    <row r="7" spans="1:33" ht="19.5" thickBot="1" x14ac:dyDescent="0.35">
      <c r="A7" s="7" t="s">
        <v>12</v>
      </c>
      <c r="B7" s="5"/>
      <c r="C7" s="1"/>
      <c r="D7" s="1"/>
      <c r="E7" s="1"/>
      <c r="F7" s="1"/>
      <c r="G7" s="1"/>
    </row>
    <row r="8" spans="1:33" ht="19.5" thickBot="1" x14ac:dyDescent="0.35">
      <c r="A8" s="7" t="s">
        <v>13</v>
      </c>
      <c r="B8" s="5"/>
      <c r="C8" s="1"/>
      <c r="D8" s="1"/>
      <c r="E8" s="1"/>
      <c r="F8" s="1"/>
      <c r="G8" s="1"/>
    </row>
    <row r="9" spans="1:33" ht="19.5" thickBot="1" x14ac:dyDescent="0.35">
      <c r="A9" s="7" t="s">
        <v>18</v>
      </c>
      <c r="B9" s="5"/>
      <c r="C9" s="1"/>
      <c r="D9" s="1"/>
      <c r="E9" s="1"/>
      <c r="F9" s="1"/>
      <c r="G9" s="1"/>
    </row>
    <row r="10" spans="1:33" ht="19.5" thickBot="1" x14ac:dyDescent="0.35">
      <c r="A10" s="7" t="s">
        <v>14</v>
      </c>
      <c r="B10" s="5"/>
      <c r="C10" s="1"/>
      <c r="D10" s="1"/>
      <c r="E10" s="1"/>
      <c r="F10" s="1"/>
      <c r="G10" s="1"/>
    </row>
    <row r="11" spans="1:33" ht="19.5" thickBot="1" x14ac:dyDescent="0.35">
      <c r="A11" s="7" t="s">
        <v>15</v>
      </c>
      <c r="B11" s="5"/>
      <c r="C11" s="1"/>
      <c r="D11" s="1"/>
      <c r="E11" s="1"/>
      <c r="F11" s="1"/>
      <c r="G11" s="1"/>
    </row>
    <row r="12" spans="1:33" ht="19.5" thickBot="1" x14ac:dyDescent="0.35">
      <c r="A12" s="7" t="s">
        <v>16</v>
      </c>
      <c r="B12" s="5"/>
      <c r="C12" s="1"/>
      <c r="D12" s="1"/>
      <c r="E12" s="1"/>
      <c r="F12" s="1"/>
      <c r="G12" s="1"/>
    </row>
    <row r="13" spans="1:33" ht="18.75" x14ac:dyDescent="0.3">
      <c r="A13" s="2"/>
      <c r="B13" s="2"/>
      <c r="C13" s="1"/>
      <c r="D13" s="1"/>
      <c r="E13" s="1"/>
      <c r="F13" s="1"/>
      <c r="G13" s="1"/>
    </row>
    <row r="14" spans="1:33" ht="18.75" x14ac:dyDescent="0.3">
      <c r="A14" s="2"/>
      <c r="B14" s="2"/>
      <c r="C14" s="1"/>
      <c r="D14" s="1"/>
      <c r="E14" s="1"/>
      <c r="F14" s="1"/>
      <c r="G14" s="1"/>
    </row>
    <row r="15" spans="1:33" ht="15.75" thickBot="1" x14ac:dyDescent="0.3">
      <c r="AA15" s="35"/>
      <c r="AB15" s="35"/>
      <c r="AC15" s="35"/>
      <c r="AD15" s="35"/>
      <c r="AE15" s="35"/>
      <c r="AF15" s="36"/>
    </row>
    <row r="16" spans="1:33" x14ac:dyDescent="0.25">
      <c r="A16" s="50" t="s">
        <v>0</v>
      </c>
      <c r="B16" s="50" t="s">
        <v>7</v>
      </c>
      <c r="C16" s="53" t="s">
        <v>66</v>
      </c>
      <c r="D16" s="53" t="s">
        <v>88</v>
      </c>
      <c r="E16" s="46" t="s">
        <v>67</v>
      </c>
      <c r="F16" s="54"/>
      <c r="G16" s="47"/>
      <c r="H16" s="46" t="s">
        <v>68</v>
      </c>
      <c r="I16" s="54"/>
      <c r="J16" s="54"/>
      <c r="K16" s="47"/>
      <c r="L16" s="46" t="s">
        <v>70</v>
      </c>
      <c r="M16" s="54"/>
      <c r="N16" s="47"/>
      <c r="O16" s="46" t="s">
        <v>74</v>
      </c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47"/>
      <c r="AF16" s="46" t="s">
        <v>71</v>
      </c>
      <c r="AG16" s="47"/>
    </row>
    <row r="17" spans="1:33" ht="15.75" thickBot="1" x14ac:dyDescent="0.3">
      <c r="A17" s="51"/>
      <c r="B17" s="51"/>
      <c r="C17" s="51"/>
      <c r="D17" s="62"/>
      <c r="E17" s="48"/>
      <c r="F17" s="55"/>
      <c r="G17" s="49"/>
      <c r="H17" s="48"/>
      <c r="I17" s="55"/>
      <c r="J17" s="55"/>
      <c r="K17" s="49"/>
      <c r="L17" s="48"/>
      <c r="M17" s="55"/>
      <c r="N17" s="49"/>
      <c r="O17" s="48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49"/>
      <c r="AF17" s="48"/>
      <c r="AG17" s="49"/>
    </row>
    <row r="18" spans="1:33" ht="39" customHeight="1" thickBot="1" x14ac:dyDescent="0.3">
      <c r="A18" s="52"/>
      <c r="B18" s="52"/>
      <c r="C18" s="52"/>
      <c r="D18" s="63"/>
      <c r="E18" s="29" t="s">
        <v>8</v>
      </c>
      <c r="F18" s="25" t="s">
        <v>51</v>
      </c>
      <c r="G18" s="25" t="s">
        <v>103</v>
      </c>
      <c r="H18" s="6" t="s">
        <v>9</v>
      </c>
      <c r="I18" s="43" t="s">
        <v>98</v>
      </c>
      <c r="J18" s="25" t="s">
        <v>52</v>
      </c>
      <c r="K18" s="25" t="s">
        <v>104</v>
      </c>
      <c r="L18" s="6" t="s">
        <v>85</v>
      </c>
      <c r="M18" s="25" t="s">
        <v>59</v>
      </c>
      <c r="N18" s="25" t="s">
        <v>60</v>
      </c>
      <c r="O18" s="38" t="s">
        <v>56</v>
      </c>
      <c r="P18" s="38" t="s">
        <v>55</v>
      </c>
      <c r="Q18" s="38" t="s">
        <v>54</v>
      </c>
      <c r="R18" s="37" t="s">
        <v>61</v>
      </c>
      <c r="S18" s="37" t="s">
        <v>57</v>
      </c>
      <c r="T18" s="38" t="s">
        <v>58</v>
      </c>
      <c r="U18" s="38" t="s">
        <v>79</v>
      </c>
      <c r="V18" s="37" t="s">
        <v>62</v>
      </c>
      <c r="W18" s="37" t="s">
        <v>63</v>
      </c>
      <c r="X18" s="38" t="s">
        <v>80</v>
      </c>
      <c r="Y18" s="37" t="s">
        <v>64</v>
      </c>
      <c r="Z18" s="37" t="s">
        <v>65</v>
      </c>
      <c r="AA18" s="39" t="s">
        <v>73</v>
      </c>
      <c r="AB18" s="39" t="s">
        <v>75</v>
      </c>
      <c r="AC18" s="39" t="s">
        <v>78</v>
      </c>
      <c r="AD18" s="39" t="s">
        <v>100</v>
      </c>
      <c r="AE18" s="39" t="s">
        <v>84</v>
      </c>
      <c r="AF18" s="6" t="s">
        <v>6</v>
      </c>
      <c r="AG18" s="30" t="s">
        <v>53</v>
      </c>
    </row>
    <row r="19" spans="1:33" ht="51.75" customHeight="1" thickBot="1" x14ac:dyDescent="0.3">
      <c r="A19" s="19" t="s">
        <v>3</v>
      </c>
      <c r="B19" s="40">
        <v>42925</v>
      </c>
      <c r="C19" s="21" t="s">
        <v>77</v>
      </c>
      <c r="D19" s="21" t="s">
        <v>89</v>
      </c>
      <c r="E19" s="22" t="s">
        <v>83</v>
      </c>
      <c r="F19" s="23"/>
      <c r="G19" s="23"/>
      <c r="H19" s="23" t="s">
        <v>83</v>
      </c>
      <c r="I19" s="23">
        <v>2</v>
      </c>
      <c r="J19" s="23"/>
      <c r="K19" s="23"/>
      <c r="L19" s="22" t="s">
        <v>19</v>
      </c>
      <c r="M19" s="24"/>
      <c r="N19" s="24"/>
      <c r="O19" s="24">
        <v>3</v>
      </c>
      <c r="P19" s="24"/>
      <c r="Q19" s="24">
        <v>21</v>
      </c>
      <c r="R19" s="24"/>
      <c r="S19" s="24"/>
      <c r="T19" s="22" t="s">
        <v>19</v>
      </c>
      <c r="U19" s="22" t="s">
        <v>19</v>
      </c>
      <c r="V19" s="22"/>
      <c r="W19" s="22"/>
      <c r="X19" s="22">
        <v>4</v>
      </c>
      <c r="Y19" s="22"/>
      <c r="Z19" s="22"/>
      <c r="AA19" s="22" t="s">
        <v>81</v>
      </c>
      <c r="AB19" s="22" t="s">
        <v>19</v>
      </c>
      <c r="AC19" s="22" t="s">
        <v>82</v>
      </c>
      <c r="AD19" s="22">
        <v>1</v>
      </c>
      <c r="AE19" s="22">
        <v>2</v>
      </c>
      <c r="AF19" s="22"/>
      <c r="AG19" s="24"/>
    </row>
    <row r="20" spans="1:33" ht="60" customHeight="1" thickBot="1" x14ac:dyDescent="0.3">
      <c r="A20" s="8" t="s">
        <v>86</v>
      </c>
      <c r="B20" s="13">
        <v>42926</v>
      </c>
      <c r="C20" s="17" t="s">
        <v>87</v>
      </c>
      <c r="D20" s="17" t="s">
        <v>90</v>
      </c>
      <c r="E20" s="9" t="s">
        <v>91</v>
      </c>
      <c r="F20" s="9"/>
      <c r="G20" s="9"/>
      <c r="H20" s="9" t="s">
        <v>19</v>
      </c>
      <c r="I20" s="23"/>
      <c r="J20" s="23"/>
      <c r="K20" s="23"/>
      <c r="L20" s="22" t="s">
        <v>19</v>
      </c>
      <c r="M20" s="24"/>
      <c r="N20" s="24"/>
      <c r="O20" s="22">
        <v>1</v>
      </c>
      <c r="P20" s="22"/>
      <c r="Q20" s="22">
        <v>5.5</v>
      </c>
      <c r="R20" s="24"/>
      <c r="S20" s="24"/>
      <c r="T20" s="9" t="s">
        <v>19</v>
      </c>
      <c r="U20" s="9" t="s">
        <v>19</v>
      </c>
      <c r="V20" s="22"/>
      <c r="W20" s="22"/>
      <c r="X20" s="9" t="s">
        <v>19</v>
      </c>
      <c r="Y20" s="22"/>
      <c r="Z20" s="22"/>
      <c r="AA20" s="22" t="s">
        <v>92</v>
      </c>
      <c r="AB20" s="22" t="s">
        <v>19</v>
      </c>
      <c r="AC20" s="22" t="s">
        <v>82</v>
      </c>
      <c r="AD20" s="22">
        <v>1</v>
      </c>
      <c r="AE20" s="22">
        <v>1</v>
      </c>
      <c r="AF20" s="9"/>
      <c r="AG20" s="22"/>
    </row>
    <row r="21" spans="1:33" ht="60.75" customHeight="1" thickBot="1" x14ac:dyDescent="0.3">
      <c r="A21" s="8" t="s">
        <v>4</v>
      </c>
      <c r="B21" s="18">
        <v>42926</v>
      </c>
      <c r="C21" s="12" t="s">
        <v>93</v>
      </c>
      <c r="D21" s="12" t="s">
        <v>90</v>
      </c>
      <c r="E21" s="9" t="s">
        <v>94</v>
      </c>
      <c r="F21" s="9"/>
      <c r="G21" s="9"/>
      <c r="H21" s="9" t="s">
        <v>94</v>
      </c>
      <c r="I21" s="23">
        <v>1</v>
      </c>
      <c r="J21" s="23"/>
      <c r="K21" s="23"/>
      <c r="L21" s="9" t="s">
        <v>19</v>
      </c>
      <c r="M21" s="24"/>
      <c r="N21" s="24"/>
      <c r="O21" s="9">
        <v>1</v>
      </c>
      <c r="P21" s="9"/>
      <c r="Q21" s="9">
        <v>5</v>
      </c>
      <c r="R21" s="24"/>
      <c r="S21" s="24"/>
      <c r="T21" s="9" t="s">
        <v>19</v>
      </c>
      <c r="U21" s="9" t="s">
        <v>19</v>
      </c>
      <c r="V21" s="9"/>
      <c r="W21" s="22"/>
      <c r="X21" s="9" t="s">
        <v>19</v>
      </c>
      <c r="Y21" s="9"/>
      <c r="Z21" s="22"/>
      <c r="AA21" s="22" t="s">
        <v>92</v>
      </c>
      <c r="AB21" s="22" t="s">
        <v>19</v>
      </c>
      <c r="AC21" s="22" t="s">
        <v>82</v>
      </c>
      <c r="AD21" s="22">
        <v>1</v>
      </c>
      <c r="AE21" s="22">
        <v>1</v>
      </c>
      <c r="AF21" s="9"/>
      <c r="AG21" s="9"/>
    </row>
    <row r="22" spans="1:33" ht="52.5" customHeight="1" thickBot="1" x14ac:dyDescent="0.3">
      <c r="A22" s="19" t="s">
        <v>3</v>
      </c>
      <c r="B22" s="13">
        <v>42927</v>
      </c>
      <c r="C22" s="12" t="s">
        <v>77</v>
      </c>
      <c r="D22" s="12" t="s">
        <v>89</v>
      </c>
      <c r="E22" s="9" t="s">
        <v>96</v>
      </c>
      <c r="F22" s="9"/>
      <c r="G22" s="9"/>
      <c r="H22" s="9" t="s">
        <v>96</v>
      </c>
      <c r="I22" s="23">
        <v>1</v>
      </c>
      <c r="J22" s="23"/>
      <c r="K22" s="23"/>
      <c r="L22" s="9" t="s">
        <v>19</v>
      </c>
      <c r="M22" s="24"/>
      <c r="N22" s="24"/>
      <c r="O22" s="9">
        <v>3</v>
      </c>
      <c r="P22" s="9"/>
      <c r="Q22" s="9">
        <v>30</v>
      </c>
      <c r="R22" s="24"/>
      <c r="S22" s="24"/>
      <c r="T22" s="9" t="s">
        <v>19</v>
      </c>
      <c r="U22" s="9" t="s">
        <v>19</v>
      </c>
      <c r="V22" s="22"/>
      <c r="W22" s="22"/>
      <c r="X22" s="9">
        <v>4</v>
      </c>
      <c r="Y22" s="22"/>
      <c r="Z22" s="22"/>
      <c r="AA22" s="22" t="s">
        <v>81</v>
      </c>
      <c r="AB22" s="22" t="s">
        <v>19</v>
      </c>
      <c r="AC22" s="22" t="s">
        <v>99</v>
      </c>
      <c r="AD22" s="22">
        <v>1</v>
      </c>
      <c r="AE22" s="22">
        <v>2</v>
      </c>
      <c r="AF22" s="9"/>
      <c r="AG22" s="9"/>
    </row>
    <row r="23" spans="1:33" ht="45" customHeight="1" thickBot="1" x14ac:dyDescent="0.3">
      <c r="A23" s="19" t="s">
        <v>3</v>
      </c>
      <c r="B23" s="13">
        <v>42928</v>
      </c>
      <c r="C23" s="12" t="s">
        <v>77</v>
      </c>
      <c r="D23" s="12" t="s">
        <v>89</v>
      </c>
      <c r="E23" s="9" t="s">
        <v>95</v>
      </c>
      <c r="F23" s="9"/>
      <c r="G23" s="9"/>
      <c r="H23" s="9" t="s">
        <v>95</v>
      </c>
      <c r="I23" s="23">
        <v>1</v>
      </c>
      <c r="J23" s="23"/>
      <c r="K23" s="23"/>
      <c r="L23" s="9" t="s">
        <v>19</v>
      </c>
      <c r="M23" s="24"/>
      <c r="N23" s="24"/>
      <c r="O23" s="9">
        <v>3</v>
      </c>
      <c r="P23" s="9"/>
      <c r="Q23" s="9">
        <v>31.5</v>
      </c>
      <c r="R23" s="24"/>
      <c r="S23" s="24"/>
      <c r="T23" s="9" t="s">
        <v>19</v>
      </c>
      <c r="U23" s="9" t="s">
        <v>19</v>
      </c>
      <c r="V23" s="9"/>
      <c r="W23" s="22"/>
      <c r="X23" s="9">
        <v>4</v>
      </c>
      <c r="Y23" s="9"/>
      <c r="Z23" s="22"/>
      <c r="AA23" s="22" t="s">
        <v>81</v>
      </c>
      <c r="AB23" s="22" t="s">
        <v>19</v>
      </c>
      <c r="AC23" s="22" t="s">
        <v>82</v>
      </c>
      <c r="AD23" s="22">
        <v>1</v>
      </c>
      <c r="AE23" s="22">
        <v>2</v>
      </c>
      <c r="AF23" s="9"/>
      <c r="AG23" s="9"/>
    </row>
    <row r="24" spans="1:33" ht="54" customHeight="1" thickBot="1" x14ac:dyDescent="0.3">
      <c r="A24" s="19" t="s">
        <v>3</v>
      </c>
      <c r="B24" s="13">
        <v>42929</v>
      </c>
      <c r="C24" s="12" t="s">
        <v>77</v>
      </c>
      <c r="D24" s="12" t="s">
        <v>89</v>
      </c>
      <c r="E24" s="9" t="s">
        <v>97</v>
      </c>
      <c r="F24" s="9"/>
      <c r="G24" s="9"/>
      <c r="H24" s="9" t="s">
        <v>97</v>
      </c>
      <c r="I24" s="23">
        <v>1</v>
      </c>
      <c r="J24" s="23"/>
      <c r="K24" s="23"/>
      <c r="L24" s="9" t="s">
        <v>19</v>
      </c>
      <c r="M24" s="24"/>
      <c r="N24" s="24"/>
      <c r="O24" s="9">
        <v>3</v>
      </c>
      <c r="P24" s="9"/>
      <c r="Q24" s="9">
        <v>28.5</v>
      </c>
      <c r="R24" s="24"/>
      <c r="S24" s="24"/>
      <c r="T24" s="9" t="s">
        <v>19</v>
      </c>
      <c r="U24" s="9" t="s">
        <v>19</v>
      </c>
      <c r="V24" s="28"/>
      <c r="W24" s="22"/>
      <c r="X24" s="9">
        <v>4</v>
      </c>
      <c r="Y24" s="9"/>
      <c r="Z24" s="22"/>
      <c r="AA24" s="22" t="s">
        <v>81</v>
      </c>
      <c r="AB24" s="22" t="s">
        <v>19</v>
      </c>
      <c r="AC24" s="22" t="s">
        <v>82</v>
      </c>
      <c r="AD24" s="22">
        <v>1</v>
      </c>
      <c r="AE24" s="22">
        <v>2</v>
      </c>
      <c r="AF24" s="9"/>
      <c r="AG24" s="9"/>
    </row>
    <row r="25" spans="1:33" ht="66" customHeight="1" thickBot="1" x14ac:dyDescent="0.3">
      <c r="A25" s="19" t="s">
        <v>3</v>
      </c>
      <c r="B25" s="13">
        <v>42930</v>
      </c>
      <c r="C25" s="12" t="s">
        <v>77</v>
      </c>
      <c r="D25" s="12" t="s">
        <v>89</v>
      </c>
      <c r="E25" s="9" t="s">
        <v>95</v>
      </c>
      <c r="F25" s="9"/>
      <c r="G25" s="9"/>
      <c r="H25" s="9" t="s">
        <v>95</v>
      </c>
      <c r="I25" s="23">
        <v>1</v>
      </c>
      <c r="J25" s="23"/>
      <c r="K25" s="23"/>
      <c r="L25" s="9" t="s">
        <v>19</v>
      </c>
      <c r="M25" s="24"/>
      <c r="N25" s="24"/>
      <c r="O25" s="9">
        <v>3</v>
      </c>
      <c r="P25" s="9"/>
      <c r="Q25" s="9">
        <v>31.5</v>
      </c>
      <c r="R25" s="24"/>
      <c r="S25" s="24"/>
      <c r="T25" s="9" t="s">
        <v>19</v>
      </c>
      <c r="U25" s="9" t="s">
        <v>19</v>
      </c>
      <c r="V25" s="9"/>
      <c r="W25" s="22"/>
      <c r="X25" s="9">
        <v>4</v>
      </c>
      <c r="Y25" s="9"/>
      <c r="Z25" s="22"/>
      <c r="AA25" s="22" t="s">
        <v>81</v>
      </c>
      <c r="AB25" s="22" t="s">
        <v>19</v>
      </c>
      <c r="AC25" s="22" t="s">
        <v>82</v>
      </c>
      <c r="AD25" s="22">
        <v>1</v>
      </c>
      <c r="AE25" s="22">
        <v>2</v>
      </c>
      <c r="AF25" s="9"/>
      <c r="AG25" s="9"/>
    </row>
    <row r="26" spans="1:33" ht="58.5" customHeight="1" thickBot="1" x14ac:dyDescent="0.3">
      <c r="A26" s="19" t="s">
        <v>3</v>
      </c>
      <c r="B26" s="13">
        <v>42931</v>
      </c>
      <c r="C26" s="12" t="s">
        <v>77</v>
      </c>
      <c r="D26" s="9" t="s">
        <v>89</v>
      </c>
      <c r="E26" s="9" t="s">
        <v>97</v>
      </c>
      <c r="F26" s="9"/>
      <c r="G26" s="9"/>
      <c r="H26" s="9" t="s">
        <v>97</v>
      </c>
      <c r="I26" s="9">
        <v>1</v>
      </c>
      <c r="J26" s="9"/>
      <c r="K26" s="9"/>
      <c r="L26" s="9" t="s">
        <v>19</v>
      </c>
      <c r="M26" s="9"/>
      <c r="N26" s="9"/>
      <c r="O26" s="9">
        <v>3</v>
      </c>
      <c r="P26" s="9"/>
      <c r="Q26" s="9">
        <v>28.5</v>
      </c>
      <c r="R26" s="9"/>
      <c r="S26" s="9"/>
      <c r="T26" s="9" t="s">
        <v>19</v>
      </c>
      <c r="U26" s="9" t="s">
        <v>19</v>
      </c>
      <c r="V26" s="9"/>
      <c r="W26" s="9"/>
      <c r="X26" s="9">
        <v>4</v>
      </c>
      <c r="Y26" s="9"/>
      <c r="Z26" s="9"/>
      <c r="AA26" s="9" t="s">
        <v>81</v>
      </c>
      <c r="AB26" s="9" t="s">
        <v>19</v>
      </c>
      <c r="AC26" s="9" t="s">
        <v>82</v>
      </c>
      <c r="AD26" s="9">
        <v>1</v>
      </c>
      <c r="AE26" s="9">
        <v>2</v>
      </c>
      <c r="AF26" s="9"/>
      <c r="AG26" s="9"/>
    </row>
    <row r="27" spans="1:33" ht="45" customHeight="1" thickBot="1" x14ac:dyDescent="0.3">
      <c r="A27" s="44" t="s">
        <v>76</v>
      </c>
      <c r="B27" s="45">
        <v>42920</v>
      </c>
      <c r="C27" s="12" t="s">
        <v>101</v>
      </c>
      <c r="D27" s="9" t="s">
        <v>102</v>
      </c>
      <c r="E27" s="9" t="s">
        <v>97</v>
      </c>
      <c r="F27" s="9"/>
      <c r="G27" s="9"/>
      <c r="H27" s="9" t="s">
        <v>97</v>
      </c>
      <c r="I27" s="9">
        <v>2</v>
      </c>
      <c r="J27" s="9"/>
      <c r="K27" s="9"/>
      <c r="L27" s="9" t="s">
        <v>19</v>
      </c>
      <c r="M27" s="9"/>
      <c r="N27" s="9"/>
      <c r="O27" s="9">
        <v>3</v>
      </c>
      <c r="P27" s="9"/>
      <c r="Q27" s="9">
        <v>28.5</v>
      </c>
      <c r="R27" s="9"/>
      <c r="S27" s="9"/>
      <c r="T27" s="9" t="s">
        <v>19</v>
      </c>
      <c r="U27" s="9" t="s">
        <v>19</v>
      </c>
      <c r="V27" s="9"/>
      <c r="W27" s="9"/>
      <c r="X27" s="9">
        <v>4</v>
      </c>
      <c r="Y27" s="9"/>
      <c r="Z27" s="9"/>
      <c r="AA27" s="9" t="s">
        <v>81</v>
      </c>
      <c r="AB27" s="9" t="s">
        <v>19</v>
      </c>
      <c r="AC27" s="9" t="s">
        <v>82</v>
      </c>
      <c r="AD27" s="9">
        <v>1</v>
      </c>
      <c r="AE27" s="9">
        <v>2</v>
      </c>
      <c r="AF27" s="9"/>
      <c r="AG27" s="9"/>
    </row>
    <row r="28" spans="1:33" ht="49.5" customHeight="1" thickBot="1" x14ac:dyDescent="0.3">
      <c r="A28" s="44" t="s">
        <v>76</v>
      </c>
      <c r="B28" s="45">
        <v>42921</v>
      </c>
      <c r="C28" s="12" t="s">
        <v>101</v>
      </c>
      <c r="D28" s="9" t="s">
        <v>102</v>
      </c>
      <c r="E28" s="9" t="s">
        <v>96</v>
      </c>
      <c r="F28" s="9"/>
      <c r="G28" s="9"/>
      <c r="H28" s="9" t="s">
        <v>96</v>
      </c>
      <c r="I28" s="9">
        <v>1</v>
      </c>
      <c r="J28" s="9"/>
      <c r="K28" s="9"/>
      <c r="L28" s="9" t="s">
        <v>19</v>
      </c>
      <c r="M28" s="9"/>
      <c r="N28" s="9"/>
      <c r="O28" s="9">
        <v>3</v>
      </c>
      <c r="P28" s="9"/>
      <c r="Q28" s="9">
        <v>30</v>
      </c>
      <c r="R28" s="9"/>
      <c r="S28" s="9"/>
      <c r="T28" s="9" t="s">
        <v>19</v>
      </c>
      <c r="U28" s="9" t="s">
        <v>19</v>
      </c>
      <c r="V28" s="9"/>
      <c r="W28" s="9"/>
      <c r="X28" s="9">
        <v>4</v>
      </c>
      <c r="Y28" s="9"/>
      <c r="Z28" s="9"/>
      <c r="AA28" s="9" t="s">
        <v>81</v>
      </c>
      <c r="AB28" s="9" t="s">
        <v>19</v>
      </c>
      <c r="AC28" s="9" t="s">
        <v>82</v>
      </c>
      <c r="AD28" s="9">
        <v>1</v>
      </c>
      <c r="AE28" s="9">
        <v>2</v>
      </c>
      <c r="AF28" s="9"/>
      <c r="AG28" s="9"/>
    </row>
    <row r="29" spans="1:33" ht="51" customHeight="1" thickBot="1" x14ac:dyDescent="0.3">
      <c r="A29" s="44" t="s">
        <v>76</v>
      </c>
      <c r="B29" s="45">
        <v>42922</v>
      </c>
      <c r="C29" s="12" t="s">
        <v>101</v>
      </c>
      <c r="D29" s="9" t="s">
        <v>102</v>
      </c>
      <c r="E29" s="9" t="s">
        <v>95</v>
      </c>
      <c r="F29" s="9"/>
      <c r="G29" s="9"/>
      <c r="H29" s="9" t="s">
        <v>95</v>
      </c>
      <c r="I29" s="9">
        <v>1</v>
      </c>
      <c r="J29" s="9"/>
      <c r="K29" s="9"/>
      <c r="L29" s="9" t="s">
        <v>19</v>
      </c>
      <c r="M29" s="9"/>
      <c r="N29" s="9"/>
      <c r="O29" s="9">
        <v>3</v>
      </c>
      <c r="P29" s="9"/>
      <c r="Q29" s="9">
        <v>31.5</v>
      </c>
      <c r="R29" s="9"/>
      <c r="S29" s="9"/>
      <c r="T29" s="9" t="s">
        <v>19</v>
      </c>
      <c r="U29" s="9" t="s">
        <v>19</v>
      </c>
      <c r="V29" s="9"/>
      <c r="W29" s="9"/>
      <c r="X29" s="9">
        <v>4</v>
      </c>
      <c r="Y29" s="9"/>
      <c r="Z29" s="9"/>
      <c r="AA29" s="9" t="s">
        <v>81</v>
      </c>
      <c r="AB29" s="9" t="s">
        <v>19</v>
      </c>
      <c r="AC29" s="9" t="s">
        <v>82</v>
      </c>
      <c r="AD29" s="9">
        <v>1</v>
      </c>
      <c r="AE29" s="9">
        <v>2</v>
      </c>
      <c r="AF29" s="9"/>
      <c r="AG29" s="9"/>
    </row>
    <row r="30" spans="1:33" ht="54" customHeight="1" thickBot="1" x14ac:dyDescent="0.3">
      <c r="A30" s="44" t="s">
        <v>76</v>
      </c>
      <c r="B30" s="45">
        <v>42923</v>
      </c>
      <c r="C30" s="12" t="s">
        <v>101</v>
      </c>
      <c r="D30" s="9" t="s">
        <v>102</v>
      </c>
      <c r="E30" s="9" t="s">
        <v>96</v>
      </c>
      <c r="F30" s="9"/>
      <c r="G30" s="9"/>
      <c r="H30" s="9" t="s">
        <v>96</v>
      </c>
      <c r="I30" s="9">
        <v>1</v>
      </c>
      <c r="J30" s="9"/>
      <c r="K30" s="9"/>
      <c r="L30" s="9" t="s">
        <v>19</v>
      </c>
      <c r="M30" s="9"/>
      <c r="N30" s="9"/>
      <c r="O30" s="9">
        <v>3</v>
      </c>
      <c r="P30" s="9"/>
      <c r="Q30" s="9">
        <v>30</v>
      </c>
      <c r="R30" s="9"/>
      <c r="S30" s="9"/>
      <c r="T30" s="9" t="s">
        <v>19</v>
      </c>
      <c r="U30" s="9" t="s">
        <v>19</v>
      </c>
      <c r="V30" s="9"/>
      <c r="W30" s="9"/>
      <c r="X30" s="9">
        <v>4</v>
      </c>
      <c r="Y30" s="9"/>
      <c r="Z30" s="9"/>
      <c r="AA30" s="9" t="s">
        <v>81</v>
      </c>
      <c r="AB30" s="9" t="s">
        <v>19</v>
      </c>
      <c r="AC30" s="9" t="s">
        <v>82</v>
      </c>
      <c r="AD30" s="9">
        <v>1</v>
      </c>
      <c r="AE30" s="9">
        <v>2</v>
      </c>
      <c r="AF30" s="9"/>
      <c r="AG30" s="9"/>
    </row>
    <row r="31" spans="1:33" ht="48.75" customHeight="1" thickBot="1" x14ac:dyDescent="0.3">
      <c r="A31" s="44" t="s">
        <v>76</v>
      </c>
      <c r="B31" s="45">
        <v>42924</v>
      </c>
      <c r="C31" s="12" t="s">
        <v>101</v>
      </c>
      <c r="D31" s="9" t="s">
        <v>102</v>
      </c>
      <c r="E31" s="9" t="s">
        <v>105</v>
      </c>
      <c r="F31" s="9"/>
      <c r="G31" s="9"/>
      <c r="H31" s="9" t="s">
        <v>105</v>
      </c>
      <c r="I31" s="9">
        <v>1</v>
      </c>
      <c r="J31" s="9"/>
      <c r="K31" s="9"/>
      <c r="L31" s="9" t="s">
        <v>19</v>
      </c>
      <c r="M31" s="9"/>
      <c r="N31" s="9"/>
      <c r="O31" s="9">
        <v>3</v>
      </c>
      <c r="P31" s="9"/>
      <c r="Q31" s="9">
        <v>27</v>
      </c>
      <c r="R31" s="9"/>
      <c r="S31" s="9"/>
      <c r="T31" s="9" t="s">
        <v>19</v>
      </c>
      <c r="U31" s="9" t="s">
        <v>19</v>
      </c>
      <c r="V31" s="9"/>
      <c r="W31" s="9"/>
      <c r="X31" s="9">
        <v>4</v>
      </c>
      <c r="Y31" s="9"/>
      <c r="Z31" s="9"/>
      <c r="AA31" s="9" t="s">
        <v>81</v>
      </c>
      <c r="AB31" s="9" t="s">
        <v>19</v>
      </c>
      <c r="AC31" s="9" t="s">
        <v>82</v>
      </c>
      <c r="AD31" s="9">
        <v>1</v>
      </c>
      <c r="AE31" s="9">
        <v>2</v>
      </c>
      <c r="AF31" s="9"/>
      <c r="AG31" s="9"/>
    </row>
    <row r="32" spans="1:33" ht="63" customHeight="1" thickBot="1" x14ac:dyDescent="0.3">
      <c r="A32" s="67" t="s">
        <v>106</v>
      </c>
      <c r="B32" s="66">
        <v>43972</v>
      </c>
      <c r="C32" s="65" t="s">
        <v>110</v>
      </c>
      <c r="D32" s="9"/>
      <c r="E32" s="9"/>
      <c r="F32" s="9"/>
      <c r="G32" s="9"/>
      <c r="H32" s="9"/>
      <c r="I32" s="9"/>
      <c r="J32" s="9"/>
      <c r="K32" s="9"/>
      <c r="L32" s="64" t="s">
        <v>107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64" t="s">
        <v>108</v>
      </c>
      <c r="AD32" s="64" t="s">
        <v>109</v>
      </c>
      <c r="AE32" s="64">
        <v>1</v>
      </c>
      <c r="AF32" s="9"/>
      <c r="AG32" s="9"/>
    </row>
    <row r="33" spans="1:33" ht="15.75" thickBot="1" x14ac:dyDescent="0.3">
      <c r="A33" s="41"/>
      <c r="B33" s="4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1:33" ht="15.75" thickBot="1" x14ac:dyDescent="0.3">
      <c r="A34" s="41"/>
      <c r="B34" s="4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1:33" ht="15.75" thickBot="1" x14ac:dyDescent="0.3">
      <c r="A35" s="41"/>
      <c r="B35" s="4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spans="1:33" ht="15.75" thickBot="1" x14ac:dyDescent="0.3">
      <c r="A36" s="41"/>
      <c r="B36" s="42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</sheetData>
  <mergeCells count="9">
    <mergeCell ref="O16:AE17"/>
    <mergeCell ref="D16:D18"/>
    <mergeCell ref="E16:G17"/>
    <mergeCell ref="AF16:AG17"/>
    <mergeCell ref="A16:A18"/>
    <mergeCell ref="B16:B18"/>
    <mergeCell ref="C16:C18"/>
    <mergeCell ref="H16:K17"/>
    <mergeCell ref="L16:N1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1º ADJUNTO</vt:lpstr>
      <vt:lpstr>2º ADJUNTO</vt:lpstr>
      <vt:lpstr>Hoja3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TRANSBIAGA-GABY</dc:creator>
  <cp:lastModifiedBy>JOSE RODRIGUEZ</cp:lastModifiedBy>
  <dcterms:created xsi:type="dcterms:W3CDTF">2016-11-25T04:27:00Z</dcterms:created>
  <dcterms:modified xsi:type="dcterms:W3CDTF">2020-05-26T16:13:04Z</dcterms:modified>
</cp:coreProperties>
</file>